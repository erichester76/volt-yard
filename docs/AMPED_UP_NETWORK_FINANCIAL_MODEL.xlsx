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 Me" sheetId="1" r:id="rId1"/>
    <sheet name="Assumptions" sheetId="2" r:id="rId2"/>
    <sheet name="12 Month Cash Flow" sheetId="3" r:id="rId3"/>
    <sheet name="Funding" sheetId="4" r:id="rId4"/>
    <sheet name="Mature Run Rate" sheetId="5" r:id="rId5"/>
  </sheets>
  <calcPr calcId="124519" fullCalcOnLoad="1"/>
</workbook>
</file>

<file path=xl/sharedStrings.xml><?xml version="1.0" encoding="utf-8"?>
<sst xmlns="http://schemas.openxmlformats.org/spreadsheetml/2006/main" count="213" uniqueCount="178">
  <si>
    <t>Amped Up Network Financial Model</t>
  </si>
  <si>
    <t>Purpose</t>
  </si>
  <si>
    <t>Editable 12-month founder-led launch model. Change yellow cells on the Assumptions sheet; all cash-flow, funding, and run-rate calculations update automatically when opened in Excel, Numbers, or Google Sheets.</t>
  </si>
  <si>
    <t>Model scope</t>
  </si>
  <si>
    <t>This model separates the mature first-market run rate from the launch-year cash ramp. It assumes partner launch fees are collected in the month shown, annual member dues are collected upfront, and no managed-service or expert-work margin is included unless entered in Assumptions.</t>
  </si>
  <si>
    <t>Funding logic</t>
  </si>
  <si>
    <t>The Funding sheet calculates the minimum capital needed to keep the requested reserve intact at the lowest point in the 12-month ramp. It does not recommend debt; compare founder capital, partner/member receipts, a line of credit, or investment using the scenarios on that sheet.</t>
  </si>
  <si>
    <t>Important</t>
  </si>
  <si>
    <t>All figures are planning assumptions, not financial advice, a forecast, or earnings representation. Replace them with actual lease, payroll, vendor, insurance, tax, payment-fee, and partner-contract terms before relying on this model for financing.</t>
  </si>
  <si>
    <t>Editable Assumptions</t>
  </si>
  <si>
    <t>Driver</t>
  </si>
  <si>
    <t>Value</t>
  </si>
  <si>
    <t>Units</t>
  </si>
  <si>
    <t>Notes</t>
  </si>
  <si>
    <t>Founder / operations monthly cash cost</t>
  </si>
  <si>
    <t>per month</t>
  </si>
  <si>
    <t>Founder-led draw and targeted operating support; excludes replacement-value labor.</t>
  </si>
  <si>
    <t>Engineering / product monthly cash cost</t>
  </si>
  <si>
    <t>Scoped contractors for security, payments, workflows, and integrations.</t>
  </si>
  <si>
    <t>Content / social monthly cash cost</t>
  </si>
  <si>
    <t>Family-assisted production plus targeted outside work; excludes imputed family labor.</t>
  </si>
  <si>
    <t>Software / payments / data monthly cost</t>
  </si>
  <si>
    <t>Hosting, communications, analytics, CRM, and payment-related tooling.</t>
  </si>
  <si>
    <t>Marketing / event monthly cash cost</t>
  </si>
  <si>
    <t>Partner-hosted and co-funded activations; avoid large self-funded events.</t>
  </si>
  <si>
    <t>Premises branding / place-based media monthly cost</t>
  </si>
  <si>
    <t>Partner kits, QR assets, and small local media tests before billboard-scale spend.</t>
  </si>
  <si>
    <t>Connected Garage monthly pilot cost</t>
  </si>
  <si>
    <t>Tesla-first Tessie pilot, secure storage/processing, and support.</t>
  </si>
  <si>
    <t>Connected Garage pilot start month</t>
  </si>
  <si>
    <t>month number</t>
  </si>
  <si>
    <t>Set to 13 to defer beyond the first year.</t>
  </si>
  <si>
    <t>Working-capital reserve</t>
  </si>
  <si>
    <t>cash balance</t>
  </si>
  <si>
    <t>Desired minimum cash balance, not an operating expense.</t>
  </si>
  <si>
    <t>Legal / compliance: Month 1</t>
  </si>
  <si>
    <t>one time</t>
  </si>
  <si>
    <t>Program structure, franchise, referral, privacy, contracts, insurance, and terms.</t>
  </si>
  <si>
    <t>Legal / compliance: Month 2</t>
  </si>
  <si>
    <t>Legal / compliance: Month 3</t>
  </si>
  <si>
    <t>Legal / compliance: Month 4</t>
  </si>
  <si>
    <t>Legal / compliance: Month 9</t>
  </si>
  <si>
    <t>Legal / compliance: Month 12</t>
  </si>
  <si>
    <t>Content equipment: Month 2</t>
  </si>
  <si>
    <t>Camera, audio, lighting, editing/storage; rent specialty gear.</t>
  </si>
  <si>
    <t>Content equipment: Month 3</t>
  </si>
  <si>
    <t>Full repair-partner launch fee</t>
  </si>
  <si>
    <t>per partner</t>
  </si>
  <si>
    <t>Core EV Repair launch program.</t>
  </si>
  <si>
    <t>Specialty / infrastructure launch fee</t>
  </si>
  <si>
    <t>Streamlined specialty or infrastructure launch.</t>
  </si>
  <si>
    <t>Certified Partner monthly membership</t>
  </si>
  <si>
    <t>per partner/month</t>
  </si>
  <si>
    <t>Specialty / infrastructure monthly membership</t>
  </si>
  <si>
    <t>Annual member dues</t>
  </si>
  <si>
    <t>per new member</t>
  </si>
  <si>
    <t>Collected upfront in this model.</t>
  </si>
  <si>
    <t>Completed-booking fee</t>
  </si>
  <si>
    <t>per completed booking</t>
  </si>
  <si>
    <t>Subject to final legal and attribution review.</t>
  </si>
  <si>
    <t>Vendor / campaign contribution</t>
  </si>
  <si>
    <t>per campaign</t>
  </si>
  <si>
    <t>Vendor-funded or local partner campaign.</t>
  </si>
  <si>
    <t>Starting founder / investor capital</t>
  </si>
  <si>
    <t>cash</t>
  </si>
  <si>
    <t>Initial cash committed before Month 1. Funding sheet calculates the minimum required.</t>
  </si>
  <si>
    <t>Managed-service contribution margin</t>
  </si>
  <si>
    <t>Enter only after a bounded service is proven.</t>
  </si>
  <si>
    <t>Expert-work contribution margin</t>
  </si>
  <si>
    <t>Enter only after pricing, payout, tax, and dispute operations are live.</t>
  </si>
  <si>
    <t>12-Month Founder-Led Cash Burn-Down</t>
  </si>
  <si>
    <t>Yellow input rows set the market-launch ramp. Formula rows calculate funding and cash position.</t>
  </si>
  <si>
    <t>Driver / Cash Flow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</si>
  <si>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</si>
  <si>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</si>
  <si>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</si>
  <si>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</si>
  <si>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</si>
  <si>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</si>
  <si>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</si>
  <si>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</si>
  <si>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</si>
  <si>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</si>
  <si>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</si>
  <si>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</si>
  <si>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Full repair-partner launches</t>
  </si>
  <si>
    <t>Specialty / infrastructure launches</t>
  </si>
  <si>
    <t>Active Certified Partners</t>
  </si>
  <si>
    <t>Active Specialty / Infrastructure Partners</t>
  </si>
  <si>
    <t>New annual members</t>
  </si>
  <si>
    <t>Completed attributable bookings</t>
  </si>
  <si>
    <t>Vendor / local campaigns</t>
  </si>
  <si>
    <t>Revenue</t>
  </si>
  <si>
    <t>Full partner-launch fees</t>
  </si>
  <si>
    <t>Specialty/infrastructure launch fees</t>
  </si>
  <si>
    <t>Certified Partner memberships</t>
  </si>
  <si>
    <t>Specialty/infrastructure memberships</t>
  </si>
  <si>
    <t>Annual consumer memberships</t>
  </si>
  <si>
    <t>Completed-booking fees</t>
  </si>
  <si>
    <t>Vendor / campaign contributions</t>
  </si>
  <si>
    <t>Managed-service contribution</t>
  </si>
  <si>
    <t>Expert-work contribution</t>
  </si>
  <si>
    <t>Total revenue</t>
  </si>
  <si>
    <t>Cash operating expenses</t>
  </si>
  <si>
    <t>Founder / operations</t>
  </si>
  <si>
    <t>Engineering / product</t>
  </si>
  <si>
    <t>Content / social</t>
  </si>
  <si>
    <t>Software / payments / data</t>
  </si>
  <si>
    <t>Marketing / events</t>
  </si>
  <si>
    <t>Premises branding / place-based media</t>
  </si>
  <si>
    <t>Connected Garage pilot</t>
  </si>
  <si>
    <t>Legal / compliance</t>
  </si>
  <si>
    <t>Content equipment</t>
  </si>
  <si>
    <t>Total operating expenses</t>
  </si>
  <si>
    <t>Cash position</t>
  </si>
  <si>
    <t>Net operating cash flow</t>
  </si>
  <si>
    <t>Cumulative cash before funding</t>
  </si>
  <si>
    <t>Opening cash after funding</t>
  </si>
  <si>
    <t>Closing cash</t>
  </si>
  <si>
    <t>Cash above / (below) reserve</t>
  </si>
  <si>
    <t>Funding Waterfall and Capital Decision</t>
  </si>
  <si>
    <t>Measure</t>
  </si>
  <si>
    <t>Formula / Value</t>
  </si>
  <si>
    <t>Interpretation</t>
  </si>
  <si>
    <t>Launch-year revenue receipts</t>
  </si>
  <si>
    <t>Partner launch fees, MRR, annual memberships, booking fees, campaign contributions, and optional product lines.</t>
  </si>
  <si>
    <t>Launch-year operating expenses</t>
  </si>
  <si>
    <t>Cash costs only; excludes reserve and replacement value of founder/family labor.</t>
  </si>
  <si>
    <t>Launch-year net operating cash flow</t>
  </si>
  <si>
    <t>Negative means the market ramp consumes cash before funding.</t>
  </si>
  <si>
    <t>Lowest cumulative cash before funding</t>
  </si>
  <si>
    <t>Worst cash point if no opening capital is injected.</t>
  </si>
  <si>
    <t>Required reserve</t>
  </si>
  <si>
    <t>Minimum desired cash buffer.</t>
  </si>
  <si>
    <t>Minimum funding to preserve reserve</t>
  </si>
  <si>
    <t>Minimum founder capital, investment, or available credit needed to avoid dropping below the reserve.</t>
  </si>
  <si>
    <t>Recommended 10% contingency</t>
  </si>
  <si>
    <t>Buffer for delayed launch collections, refunds, and event/contractor variance.</t>
  </si>
  <si>
    <t>Recommended initial capitalization</t>
  </si>
  <si>
    <t>Base-case cash to commit before launch if launch fees are collected on schedule.</t>
  </si>
  <si>
    <t>Current starting capital assumption</t>
  </si>
  <si>
    <t>Editable Assumptions input.</t>
  </si>
  <si>
    <t>Capital surplus / (shortfall)</t>
  </si>
  <si>
    <t>Positive means the model preserves the reserve; negative means close the gap before launch.</t>
  </si>
  <si>
    <t>Funding order</t>
  </si>
  <si>
    <t>1. Partner launch fees and annual member dues</t>
  </si>
  <si>
    <t>First</t>
  </si>
  <si>
    <t>Collect launch fees on milestone-based terms and annual membership revenue upfront where possible.</t>
  </si>
  <si>
    <t>2. Founder capital</t>
  </si>
  <si>
    <t>Base case</t>
  </si>
  <si>
    <t>Use for the calculated reserve requirement and initial legal/product work; it is the cleanest early-stage capital when no recurring cash flow exists.</t>
  </si>
  <si>
    <t>3. Small working-capital line</t>
  </si>
  <si>
    <t>Contingency only</t>
  </si>
  <si>
    <t>Use only for short collection timing gaps after contracts and recurring receipts are demonstrated; do not use it to finance speculative events or open-ended payroll.</t>
  </si>
  <si>
    <t>4. Strategic/equity investment</t>
  </si>
  <si>
    <t>Expansion</t>
  </si>
  <si>
    <t>Use for multi-market expansion, a dedicated facility, accelerated Connected Garage development, or a staffed partner-success/content team, not to cover an avoidable early operating deficit.</t>
  </si>
  <si>
    <t>Mature First-Market Annual Run Rate</t>
  </si>
  <si>
    <t>Driver / Revenue line</t>
  </si>
  <si>
    <t>Certified Partners</t>
  </si>
  <si>
    <t>Editable operating target.</t>
  </si>
  <si>
    <t>Specialty / Infrastructure Partners</t>
  </si>
  <si>
    <t>Full repair launches per year</t>
  </si>
  <si>
    <t>New full launches after initial market activation.</t>
  </si>
  <si>
    <t>Specialty / infrastructure launches per year</t>
  </si>
  <si>
    <t>New lighter launches after initial market activation.</t>
  </si>
  <si>
    <t>Annual consumer members</t>
  </si>
  <si>
    <t>At $99 annual dues in the base case.</t>
  </si>
  <si>
    <t>Completed bookings / Certified Partner / month</t>
  </si>
  <si>
    <t>Attributable completed bookings only.</t>
  </si>
  <si>
    <t>Vendor / local campaigns per year</t>
  </si>
  <si>
    <t>At the Assumptions campaign contribution.</t>
  </si>
  <si>
    <t>Full partner launches</t>
  </si>
  <si>
    <t>Formula driven by the editable target above and Assumptions.</t>
  </si>
  <si>
    <t>Specialty/infrastructure launches</t>
  </si>
  <si>
    <t>Vendor/local campaigns</t>
  </si>
  <si>
    <t>Total annual gross revenue</t>
  </si>
  <si>
    <t>Gross revenue only. Add direct costs, staffing, taxes, payment fees, refunds, and market-specific overhead before using this as a profitability estimate.</t>
  </si>
</sst>
</file>

<file path=xl/styles.xml><?xml version="1.0" encoding="utf-8"?>
<styleSheet xmlns="http://schemas.openxmlformats.org/spreadsheetml/2006/main">
  <numFmts count="1">
    <numFmt numFmtId="164" formatCode="$#,##0;[Red]($#,##0)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5B657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276678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0" borderId="1" xfId="0" applyBorder="1" applyAlignment="1">
      <alignment vertical="top" wrapText="1"/>
    </xf>
    <xf numFmtId="0" fontId="2" fillId="4" borderId="1" xfId="0" applyFont="1" applyFill="1" applyBorder="1" applyAlignment="1">
      <alignment horizontal="center"/>
    </xf>
    <xf numFmtId="0" fontId="0" fillId="0" borderId="1" xfId="0" applyBorder="1"/>
    <xf numFmtId="164" fontId="0" fillId="5" borderId="1" xfId="0" applyNumberFormat="1" applyFill="1" applyBorder="1"/>
    <xf numFmtId="0" fontId="0" fillId="5" borderId="1" xfId="0" applyFill="1" applyBorder="1"/>
    <xf numFmtId="0" fontId="3" fillId="0" borderId="0" xfId="0" applyFont="1" applyAlignment="1">
      <alignment wrapText="1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7324D"/>
  </sheetPr>
  <dimension ref="A1:B9"/>
  <sheetViews>
    <sheetView tabSelected="1"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1" t="s">
        <v>0</v>
      </c>
      <c r="B1" s="1"/>
    </row>
    <row r="3" spans="1:2">
      <c r="A3" s="2" t="s">
        <v>1</v>
      </c>
      <c r="B3" s="3" t="s">
        <v>2</v>
      </c>
    </row>
    <row r="5" spans="1:2">
      <c r="A5" s="2" t="s">
        <v>3</v>
      </c>
      <c r="B5" s="3" t="s">
        <v>4</v>
      </c>
    </row>
    <row r="7" spans="1:2">
      <c r="A7" s="2" t="s">
        <v>5</v>
      </c>
      <c r="B7" s="3" t="s">
        <v>6</v>
      </c>
    </row>
    <row r="9" spans="1:2">
      <c r="A9" s="2" t="s">
        <v>7</v>
      </c>
      <c r="B9" s="3" t="s">
        <v>8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76678"/>
  </sheetPr>
  <dimension ref="A1:D30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42.7109375" customWidth="1"/>
    <col min="2" max="2" width="16.7109375" customWidth="1"/>
    <col min="3" max="3" width="18.7109375" customWidth="1"/>
    <col min="4" max="4" width="68.7109375" customWidth="1"/>
  </cols>
  <sheetData>
    <row r="1" spans="1:4">
      <c r="A1" s="1" t="s">
        <v>9</v>
      </c>
      <c r="B1" s="1"/>
      <c r="C1" s="1"/>
      <c r="D1" s="1"/>
    </row>
    <row r="3" spans="1:4">
      <c r="A3" s="4" t="s">
        <v>10</v>
      </c>
      <c r="B3" s="4" t="s">
        <v>11</v>
      </c>
      <c r="C3" s="4" t="s">
        <v>12</v>
      </c>
      <c r="D3" s="4" t="s">
        <v>13</v>
      </c>
    </row>
    <row r="4" spans="1:4">
      <c r="A4" s="5" t="s">
        <v>14</v>
      </c>
      <c r="B4" s="6">
        <v>4000</v>
      </c>
      <c r="C4" s="5" t="s">
        <v>15</v>
      </c>
      <c r="D4" s="3" t="s">
        <v>16</v>
      </c>
    </row>
    <row r="5" spans="1:4">
      <c r="A5" s="5" t="s">
        <v>17</v>
      </c>
      <c r="B5" s="6">
        <v>2000</v>
      </c>
      <c r="C5" s="5" t="s">
        <v>15</v>
      </c>
      <c r="D5" s="3" t="s">
        <v>18</v>
      </c>
    </row>
    <row r="6" spans="1:4">
      <c r="A6" s="5" t="s">
        <v>19</v>
      </c>
      <c r="B6" s="6">
        <v>1500</v>
      </c>
      <c r="C6" s="5" t="s">
        <v>15</v>
      </c>
      <c r="D6" s="3" t="s">
        <v>20</v>
      </c>
    </row>
    <row r="7" spans="1:4">
      <c r="A7" s="5" t="s">
        <v>21</v>
      </c>
      <c r="B7" s="6">
        <v>1500</v>
      </c>
      <c r="C7" s="5" t="s">
        <v>15</v>
      </c>
      <c r="D7" s="3" t="s">
        <v>22</v>
      </c>
    </row>
    <row r="8" spans="1:4">
      <c r="A8" s="5" t="s">
        <v>23</v>
      </c>
      <c r="B8" s="6">
        <v>1500</v>
      </c>
      <c r="C8" s="5" t="s">
        <v>15</v>
      </c>
      <c r="D8" s="3" t="s">
        <v>24</v>
      </c>
    </row>
    <row r="9" spans="1:4">
      <c r="A9" s="5" t="s">
        <v>25</v>
      </c>
      <c r="B9" s="6">
        <v>1250</v>
      </c>
      <c r="C9" s="5" t="s">
        <v>15</v>
      </c>
      <c r="D9" s="3" t="s">
        <v>26</v>
      </c>
    </row>
    <row r="10" spans="1:4">
      <c r="A10" s="5" t="s">
        <v>27</v>
      </c>
      <c r="B10" s="6">
        <v>1000</v>
      </c>
      <c r="C10" s="5" t="s">
        <v>15</v>
      </c>
      <c r="D10" s="3" t="s">
        <v>28</v>
      </c>
    </row>
    <row r="11" spans="1:4">
      <c r="A11" s="5" t="s">
        <v>29</v>
      </c>
      <c r="B11" s="7">
        <v>7</v>
      </c>
      <c r="C11" s="5" t="s">
        <v>30</v>
      </c>
      <c r="D11" s="3" t="s">
        <v>31</v>
      </c>
    </row>
    <row r="12" spans="1:4">
      <c r="A12" s="5" t="s">
        <v>32</v>
      </c>
      <c r="B12" s="6">
        <v>25000</v>
      </c>
      <c r="C12" s="5" t="s">
        <v>33</v>
      </c>
      <c r="D12" s="3" t="s">
        <v>34</v>
      </c>
    </row>
    <row r="13" spans="1:4">
      <c r="A13" s="5" t="s">
        <v>35</v>
      </c>
      <c r="B13" s="6">
        <v>10000</v>
      </c>
      <c r="C13" s="5" t="s">
        <v>36</v>
      </c>
      <c r="D13" s="3" t="s">
        <v>37</v>
      </c>
    </row>
    <row r="14" spans="1:4">
      <c r="A14" s="5" t="s">
        <v>38</v>
      </c>
      <c r="B14" s="6">
        <v>8000</v>
      </c>
      <c r="C14" s="5" t="s">
        <v>36</v>
      </c>
      <c r="D14" s="3"/>
    </row>
    <row r="15" spans="1:4">
      <c r="A15" s="5" t="s">
        <v>39</v>
      </c>
      <c r="B15" s="6">
        <v>6000</v>
      </c>
      <c r="C15" s="5" t="s">
        <v>36</v>
      </c>
      <c r="D15" s="3"/>
    </row>
    <row r="16" spans="1:4">
      <c r="A16" s="5" t="s">
        <v>40</v>
      </c>
      <c r="B16" s="6">
        <v>2000</v>
      </c>
      <c r="C16" s="5" t="s">
        <v>36</v>
      </c>
      <c r="D16" s="3"/>
    </row>
    <row r="17" spans="1:4">
      <c r="A17" s="5" t="s">
        <v>41</v>
      </c>
      <c r="B17" s="6">
        <v>2000</v>
      </c>
      <c r="C17" s="5" t="s">
        <v>36</v>
      </c>
      <c r="D17" s="3"/>
    </row>
    <row r="18" spans="1:4">
      <c r="A18" s="5" t="s">
        <v>42</v>
      </c>
      <c r="B18" s="6">
        <v>2000</v>
      </c>
      <c r="C18" s="5" t="s">
        <v>36</v>
      </c>
      <c r="D18" s="3"/>
    </row>
    <row r="19" spans="1:4">
      <c r="A19" s="5" t="s">
        <v>43</v>
      </c>
      <c r="B19" s="6">
        <v>6000</v>
      </c>
      <c r="C19" s="5" t="s">
        <v>36</v>
      </c>
      <c r="D19" s="3" t="s">
        <v>44</v>
      </c>
    </row>
    <row r="20" spans="1:4">
      <c r="A20" s="5" t="s">
        <v>45</v>
      </c>
      <c r="B20" s="6">
        <v>4000</v>
      </c>
      <c r="C20" s="5" t="s">
        <v>36</v>
      </c>
      <c r="D20" s="3"/>
    </row>
    <row r="21" spans="1:4">
      <c r="A21" s="5" t="s">
        <v>46</v>
      </c>
      <c r="B21" s="6">
        <v>4000</v>
      </c>
      <c r="C21" s="5" t="s">
        <v>47</v>
      </c>
      <c r="D21" s="3" t="s">
        <v>48</v>
      </c>
    </row>
    <row r="22" spans="1:4">
      <c r="A22" s="5" t="s">
        <v>49</v>
      </c>
      <c r="B22" s="6">
        <v>1500</v>
      </c>
      <c r="C22" s="5" t="s">
        <v>47</v>
      </c>
      <c r="D22" s="3" t="s">
        <v>50</v>
      </c>
    </row>
    <row r="23" spans="1:4">
      <c r="A23" s="5" t="s">
        <v>51</v>
      </c>
      <c r="B23" s="6">
        <v>499</v>
      </c>
      <c r="C23" s="5" t="s">
        <v>52</v>
      </c>
      <c r="D23" s="3"/>
    </row>
    <row r="24" spans="1:4">
      <c r="A24" s="5" t="s">
        <v>53</v>
      </c>
      <c r="B24" s="6">
        <v>199</v>
      </c>
      <c r="C24" s="5" t="s">
        <v>52</v>
      </c>
      <c r="D24" s="3"/>
    </row>
    <row r="25" spans="1:4">
      <c r="A25" s="5" t="s">
        <v>54</v>
      </c>
      <c r="B25" s="6">
        <v>99</v>
      </c>
      <c r="C25" s="5" t="s">
        <v>55</v>
      </c>
      <c r="D25" s="3" t="s">
        <v>56</v>
      </c>
    </row>
    <row r="26" spans="1:4">
      <c r="A26" s="5" t="s">
        <v>57</v>
      </c>
      <c r="B26" s="6">
        <v>40</v>
      </c>
      <c r="C26" s="5" t="s">
        <v>58</v>
      </c>
      <c r="D26" s="3" t="s">
        <v>59</v>
      </c>
    </row>
    <row r="27" spans="1:4">
      <c r="A27" s="5" t="s">
        <v>60</v>
      </c>
      <c r="B27" s="6">
        <v>3000</v>
      </c>
      <c r="C27" s="5" t="s">
        <v>61</v>
      </c>
      <c r="D27" s="3" t="s">
        <v>62</v>
      </c>
    </row>
    <row r="28" spans="1:4">
      <c r="A28" s="5" t="s">
        <v>63</v>
      </c>
      <c r="B28" s="6">
        <v>70000</v>
      </c>
      <c r="C28" s="5" t="s">
        <v>64</v>
      </c>
      <c r="D28" s="3" t="s">
        <v>65</v>
      </c>
    </row>
    <row r="29" spans="1:4">
      <c r="A29" s="5" t="s">
        <v>66</v>
      </c>
      <c r="B29" s="6">
        <v>0</v>
      </c>
      <c r="C29" s="5" t="s">
        <v>15</v>
      </c>
      <c r="D29" s="3" t="s">
        <v>67</v>
      </c>
    </row>
    <row r="30" spans="1:4">
      <c r="A30" s="5" t="s">
        <v>68</v>
      </c>
      <c r="B30" s="6">
        <v>0</v>
      </c>
      <c r="C30" s="5" t="s">
        <v>15</v>
      </c>
      <c r="D30" s="3" t="s">
        <v>69</v>
      </c>
    </row>
  </sheetData>
  <mergeCells count="1">
    <mergeCell ref="A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A7D44"/>
  </sheetPr>
  <dimension ref="A1:M4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9.7109375" customWidth="1"/>
    <col min="2" max="13" width="14.7109375" customWidth="1"/>
  </cols>
  <sheetData>
    <row r="1" spans="1:13">
      <c r="A1" s="1" t="s">
        <v>70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>
      <c r="A2" s="8" t="s">
        <v>71</v>
      </c>
    </row>
    <row r="4" spans="1:13">
      <c r="A4" s="4" t="s">
        <v>72</v>
      </c>
      <c r="B4" s="4" t="s">
        <v>73</v>
      </c>
      <c r="C4" s="4" t="s">
        <v>74</v>
      </c>
      <c r="D4" s="4" t="s">
        <v>75</v>
      </c>
      <c r="E4" s="4" t="s">
        <v>76</v>
      </c>
      <c r="F4" s="4" t="s">
        <v>77</v>
      </c>
      <c r="G4" s="4" t="s">
        <v>78</v>
      </c>
      <c r="H4" s="4" t="s">
        <v>79</v>
      </c>
      <c r="I4" s="4" t="s">
        <v>80</v>
      </c>
      <c r="J4" s="4" t="s">
        <v>81</v>
      </c>
      <c r="K4" s="4" t="s">
        <v>82</v>
      </c>
      <c r="L4" s="4" t="s">
        <v>83</v>
      </c>
      <c r="M4" s="4" t="s">
        <v>84</v>
      </c>
    </row>
    <row r="5" spans="1:13">
      <c r="A5" s="5" t="s">
        <v>85</v>
      </c>
      <c r="B5" s="7">
        <v>0</v>
      </c>
      <c r="C5" s="7">
        <v>3</v>
      </c>
      <c r="D5" s="7">
        <v>2</v>
      </c>
      <c r="E5" s="7">
        <v>2</v>
      </c>
      <c r="F5" s="7">
        <v>1</v>
      </c>
      <c r="G5" s="7">
        <v>1</v>
      </c>
      <c r="H5" s="7">
        <v>1</v>
      </c>
      <c r="I5" s="7">
        <v>0</v>
      </c>
      <c r="J5" s="7">
        <v>0</v>
      </c>
      <c r="K5" s="7">
        <v>0</v>
      </c>
      <c r="L5" s="7">
        <v>0</v>
      </c>
      <c r="M5" s="7">
        <v>0</v>
      </c>
    </row>
    <row r="6" spans="1:13">
      <c r="A6" s="5" t="s">
        <v>86</v>
      </c>
      <c r="B6" s="7">
        <v>0</v>
      </c>
      <c r="C6" s="7">
        <v>0</v>
      </c>
      <c r="D6" s="7">
        <v>1</v>
      </c>
      <c r="E6" s="7">
        <v>1</v>
      </c>
      <c r="F6" s="7">
        <v>1</v>
      </c>
      <c r="G6" s="7">
        <v>1</v>
      </c>
      <c r="H6" s="7">
        <v>1</v>
      </c>
      <c r="I6" s="7">
        <v>0</v>
      </c>
      <c r="J6" s="7">
        <v>0</v>
      </c>
      <c r="K6" s="7">
        <v>0</v>
      </c>
      <c r="L6" s="7">
        <v>0</v>
      </c>
      <c r="M6" s="7">
        <v>0</v>
      </c>
    </row>
    <row r="7" spans="1:13">
      <c r="A7" s="5" t="s">
        <v>87</v>
      </c>
      <c r="B7" s="7">
        <v>0</v>
      </c>
      <c r="C7" s="7">
        <v>0</v>
      </c>
      <c r="D7" s="7">
        <v>0</v>
      </c>
      <c r="E7" s="7">
        <v>2</v>
      </c>
      <c r="F7" s="7">
        <v>4</v>
      </c>
      <c r="G7" s="7">
        <v>6</v>
      </c>
      <c r="H7" s="7">
        <v>8</v>
      </c>
      <c r="I7" s="7">
        <v>10</v>
      </c>
      <c r="J7" s="7">
        <v>10</v>
      </c>
      <c r="K7" s="7">
        <v>10</v>
      </c>
      <c r="L7" s="7">
        <v>10</v>
      </c>
      <c r="M7" s="7">
        <v>10</v>
      </c>
    </row>
    <row r="8" spans="1:13">
      <c r="A8" s="5" t="s">
        <v>88</v>
      </c>
      <c r="B8" s="7">
        <v>0</v>
      </c>
      <c r="C8" s="7">
        <v>0</v>
      </c>
      <c r="D8" s="7">
        <v>0</v>
      </c>
      <c r="E8" s="7">
        <v>2</v>
      </c>
      <c r="F8" s="7">
        <v>3</v>
      </c>
      <c r="G8" s="7">
        <v>4</v>
      </c>
      <c r="H8" s="7">
        <v>5</v>
      </c>
      <c r="I8" s="7">
        <v>5</v>
      </c>
      <c r="J8" s="7">
        <v>5</v>
      </c>
      <c r="K8" s="7">
        <v>5</v>
      </c>
      <c r="L8" s="7">
        <v>5</v>
      </c>
      <c r="M8" s="7">
        <v>5</v>
      </c>
    </row>
    <row r="9" spans="1:13">
      <c r="A9" s="5" t="s">
        <v>89</v>
      </c>
      <c r="B9" s="7">
        <v>0</v>
      </c>
      <c r="C9" s="7">
        <v>0</v>
      </c>
      <c r="D9" s="7">
        <v>25</v>
      </c>
      <c r="E9" s="7">
        <v>25</v>
      </c>
      <c r="F9" s="7">
        <v>30</v>
      </c>
      <c r="G9" s="7">
        <v>40</v>
      </c>
      <c r="H9" s="7">
        <v>50</v>
      </c>
      <c r="I9" s="7">
        <v>50</v>
      </c>
      <c r="J9" s="7">
        <v>50</v>
      </c>
      <c r="K9" s="7">
        <v>50</v>
      </c>
      <c r="L9" s="7">
        <v>40</v>
      </c>
      <c r="M9" s="7">
        <v>40</v>
      </c>
    </row>
    <row r="10" spans="1:13">
      <c r="A10" s="5" t="s">
        <v>90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8</v>
      </c>
      <c r="H10" s="7">
        <v>24</v>
      </c>
      <c r="I10" s="7">
        <v>48</v>
      </c>
      <c r="J10" s="7">
        <v>80</v>
      </c>
      <c r="K10" s="7">
        <v>100</v>
      </c>
      <c r="L10" s="7">
        <v>100</v>
      </c>
      <c r="M10" s="7">
        <v>120</v>
      </c>
    </row>
    <row r="11" spans="1:13">
      <c r="A11" s="5" t="s">
        <v>91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1</v>
      </c>
      <c r="H11" s="7">
        <v>0</v>
      </c>
      <c r="I11" s="7">
        <v>0</v>
      </c>
      <c r="J11" s="7">
        <v>0</v>
      </c>
      <c r="K11" s="7">
        <v>1</v>
      </c>
      <c r="L11" s="7">
        <v>0</v>
      </c>
      <c r="M11" s="7">
        <v>0</v>
      </c>
    </row>
    <row r="13" spans="1:13">
      <c r="A13" s="2" t="s">
        <v>92</v>
      </c>
    </row>
    <row r="14" spans="1:13">
      <c r="A14" s="5" t="s">
        <v>93</v>
      </c>
      <c r="B14" s="9">
        <f>B5*Assumptions!$B$21</f>
        <v>0</v>
      </c>
      <c r="C14" s="9">
        <f>C5*Assumptions!$B$21</f>
        <v>0</v>
      </c>
      <c r="D14" s="9">
        <f>D5*Assumptions!$B$21</f>
        <v>0</v>
      </c>
      <c r="E14" s="9">
        <f>E5*Assumptions!$B$21</f>
        <v>0</v>
      </c>
      <c r="F14" s="9">
        <f>F5*Assumptions!$B$21</f>
        <v>0</v>
      </c>
      <c r="G14" s="9">
        <f>G5*Assumptions!$B$21</f>
        <v>0</v>
      </c>
      <c r="H14" s="9">
        <f>H5*Assumptions!$B$21</f>
        <v>0</v>
      </c>
      <c r="I14" s="9">
        <f>I5*Assumptions!$B$21</f>
        <v>0</v>
      </c>
      <c r="J14" s="9">
        <f>J5*Assumptions!$B$21</f>
        <v>0</v>
      </c>
      <c r="K14" s="9">
        <f>K5*Assumptions!$B$21</f>
        <v>0</v>
      </c>
      <c r="L14" s="9">
        <f>L5*Assumptions!$B$21</f>
        <v>0</v>
      </c>
      <c r="M14" s="9">
        <f>M5*Assumptions!$B$21</f>
        <v>0</v>
      </c>
    </row>
    <row r="15" spans="1:13">
      <c r="A15" s="5" t="s">
        <v>94</v>
      </c>
      <c r="B15" s="9">
        <f>B6*Assumptions!$B$22</f>
        <v>0</v>
      </c>
      <c r="C15" s="9">
        <f>C6*Assumptions!$B$22</f>
        <v>0</v>
      </c>
      <c r="D15" s="9">
        <f>D6*Assumptions!$B$22</f>
        <v>0</v>
      </c>
      <c r="E15" s="9">
        <f>E6*Assumptions!$B$22</f>
        <v>0</v>
      </c>
      <c r="F15" s="9">
        <f>F6*Assumptions!$B$22</f>
        <v>0</v>
      </c>
      <c r="G15" s="9">
        <f>G6*Assumptions!$B$22</f>
        <v>0</v>
      </c>
      <c r="H15" s="9">
        <f>H6*Assumptions!$B$22</f>
        <v>0</v>
      </c>
      <c r="I15" s="9">
        <f>I6*Assumptions!$B$22</f>
        <v>0</v>
      </c>
      <c r="J15" s="9">
        <f>J6*Assumptions!$B$22</f>
        <v>0</v>
      </c>
      <c r="K15" s="9">
        <f>K6*Assumptions!$B$22</f>
        <v>0</v>
      </c>
      <c r="L15" s="9">
        <f>L6*Assumptions!$B$22</f>
        <v>0</v>
      </c>
      <c r="M15" s="9">
        <f>M6*Assumptions!$B$22</f>
        <v>0</v>
      </c>
    </row>
    <row r="16" spans="1:13">
      <c r="A16" s="5" t="s">
        <v>95</v>
      </c>
      <c r="B16" s="9">
        <f>B7*Assumptions!$B$23</f>
        <v>0</v>
      </c>
      <c r="C16" s="9">
        <f>C7*Assumptions!$B$23</f>
        <v>0</v>
      </c>
      <c r="D16" s="9">
        <f>D7*Assumptions!$B$23</f>
        <v>0</v>
      </c>
      <c r="E16" s="9">
        <f>E7*Assumptions!$B$23</f>
        <v>0</v>
      </c>
      <c r="F16" s="9">
        <f>F7*Assumptions!$B$23</f>
        <v>0</v>
      </c>
      <c r="G16" s="9">
        <f>G7*Assumptions!$B$23</f>
        <v>0</v>
      </c>
      <c r="H16" s="9">
        <f>H7*Assumptions!$B$23</f>
        <v>0</v>
      </c>
      <c r="I16" s="9">
        <f>I7*Assumptions!$B$23</f>
        <v>0</v>
      </c>
      <c r="J16" s="9">
        <f>J7*Assumptions!$B$23</f>
        <v>0</v>
      </c>
      <c r="K16" s="9">
        <f>K7*Assumptions!$B$23</f>
        <v>0</v>
      </c>
      <c r="L16" s="9">
        <f>L7*Assumptions!$B$23</f>
        <v>0</v>
      </c>
      <c r="M16" s="9">
        <f>M7*Assumptions!$B$23</f>
        <v>0</v>
      </c>
    </row>
    <row r="17" spans="1:13">
      <c r="A17" s="5" t="s">
        <v>96</v>
      </c>
      <c r="B17" s="9">
        <f>B8*Assumptions!$B$24</f>
        <v>0</v>
      </c>
      <c r="C17" s="9">
        <f>C8*Assumptions!$B$24</f>
        <v>0</v>
      </c>
      <c r="D17" s="9">
        <f>D8*Assumptions!$B$24</f>
        <v>0</v>
      </c>
      <c r="E17" s="9">
        <f>E8*Assumptions!$B$24</f>
        <v>0</v>
      </c>
      <c r="F17" s="9">
        <f>F8*Assumptions!$B$24</f>
        <v>0</v>
      </c>
      <c r="G17" s="9">
        <f>G8*Assumptions!$B$24</f>
        <v>0</v>
      </c>
      <c r="H17" s="9">
        <f>H8*Assumptions!$B$24</f>
        <v>0</v>
      </c>
      <c r="I17" s="9">
        <f>I8*Assumptions!$B$24</f>
        <v>0</v>
      </c>
      <c r="J17" s="9">
        <f>J8*Assumptions!$B$24</f>
        <v>0</v>
      </c>
      <c r="K17" s="9">
        <f>K8*Assumptions!$B$24</f>
        <v>0</v>
      </c>
      <c r="L17" s="9">
        <f>L8*Assumptions!$B$24</f>
        <v>0</v>
      </c>
      <c r="M17" s="9">
        <f>M8*Assumptions!$B$24</f>
        <v>0</v>
      </c>
    </row>
    <row r="18" spans="1:13">
      <c r="A18" s="5" t="s">
        <v>97</v>
      </c>
      <c r="B18" s="9">
        <f>B9*Assumptions!$B$25</f>
        <v>0</v>
      </c>
      <c r="C18" s="9">
        <f>C9*Assumptions!$B$25</f>
        <v>0</v>
      </c>
      <c r="D18" s="9">
        <f>D9*Assumptions!$B$25</f>
        <v>0</v>
      </c>
      <c r="E18" s="9">
        <f>E9*Assumptions!$B$25</f>
        <v>0</v>
      </c>
      <c r="F18" s="9">
        <f>F9*Assumptions!$B$25</f>
        <v>0</v>
      </c>
      <c r="G18" s="9">
        <f>G9*Assumptions!$B$25</f>
        <v>0</v>
      </c>
      <c r="H18" s="9">
        <f>H9*Assumptions!$B$25</f>
        <v>0</v>
      </c>
      <c r="I18" s="9">
        <f>I9*Assumptions!$B$25</f>
        <v>0</v>
      </c>
      <c r="J18" s="9">
        <f>J9*Assumptions!$B$25</f>
        <v>0</v>
      </c>
      <c r="K18" s="9">
        <f>K9*Assumptions!$B$25</f>
        <v>0</v>
      </c>
      <c r="L18" s="9">
        <f>L9*Assumptions!$B$25</f>
        <v>0</v>
      </c>
      <c r="M18" s="9">
        <f>M9*Assumptions!$B$25</f>
        <v>0</v>
      </c>
    </row>
    <row r="19" spans="1:13">
      <c r="A19" s="5" t="s">
        <v>98</v>
      </c>
      <c r="B19" s="9">
        <f>B10*Assumptions!$B$26</f>
        <v>0</v>
      </c>
      <c r="C19" s="9">
        <f>C10*Assumptions!$B$26</f>
        <v>0</v>
      </c>
      <c r="D19" s="9">
        <f>D10*Assumptions!$B$26</f>
        <v>0</v>
      </c>
      <c r="E19" s="9">
        <f>E10*Assumptions!$B$26</f>
        <v>0</v>
      </c>
      <c r="F19" s="9">
        <f>F10*Assumptions!$B$26</f>
        <v>0</v>
      </c>
      <c r="G19" s="9">
        <f>G10*Assumptions!$B$26</f>
        <v>0</v>
      </c>
      <c r="H19" s="9">
        <f>H10*Assumptions!$B$26</f>
        <v>0</v>
      </c>
      <c r="I19" s="9">
        <f>I10*Assumptions!$B$26</f>
        <v>0</v>
      </c>
      <c r="J19" s="9">
        <f>J10*Assumptions!$B$26</f>
        <v>0</v>
      </c>
      <c r="K19" s="9">
        <f>K10*Assumptions!$B$26</f>
        <v>0</v>
      </c>
      <c r="L19" s="9">
        <f>L10*Assumptions!$B$26</f>
        <v>0</v>
      </c>
      <c r="M19" s="9">
        <f>M10*Assumptions!$B$26</f>
        <v>0</v>
      </c>
    </row>
    <row r="20" spans="1:13">
      <c r="A20" s="5" t="s">
        <v>99</v>
      </c>
      <c r="B20" s="9">
        <f>B11*Assumptions!$B$27</f>
        <v>0</v>
      </c>
      <c r="C20" s="9">
        <f>C11*Assumptions!$B$27</f>
        <v>0</v>
      </c>
      <c r="D20" s="9">
        <f>D11*Assumptions!$B$27</f>
        <v>0</v>
      </c>
      <c r="E20" s="9">
        <f>E11*Assumptions!$B$27</f>
        <v>0</v>
      </c>
      <c r="F20" s="9">
        <f>F11*Assumptions!$B$27</f>
        <v>0</v>
      </c>
      <c r="G20" s="9">
        <f>G11*Assumptions!$B$27</f>
        <v>0</v>
      </c>
      <c r="H20" s="9">
        <f>H11*Assumptions!$B$27</f>
        <v>0</v>
      </c>
      <c r="I20" s="9">
        <f>I11*Assumptions!$B$27</f>
        <v>0</v>
      </c>
      <c r="J20" s="9">
        <f>J11*Assumptions!$B$27</f>
        <v>0</v>
      </c>
      <c r="K20" s="9">
        <f>K11*Assumptions!$B$27</f>
        <v>0</v>
      </c>
      <c r="L20" s="9">
        <f>L11*Assumptions!$B$27</f>
        <v>0</v>
      </c>
      <c r="M20" s="9">
        <f>M11*Assumptions!$B$27</f>
        <v>0</v>
      </c>
    </row>
    <row r="21" spans="1:13">
      <c r="A21" s="5" t="s">
        <v>100</v>
      </c>
      <c r="B21" s="9">
        <f>Assumptions!$B$29</f>
        <v>0</v>
      </c>
      <c r="C21" s="9">
        <f>Assumptions!$B$29</f>
        <v>0</v>
      </c>
      <c r="D21" s="9">
        <f>Assumptions!$B$29</f>
        <v>0</v>
      </c>
      <c r="E21" s="9">
        <f>Assumptions!$B$29</f>
        <v>0</v>
      </c>
      <c r="F21" s="9">
        <f>Assumptions!$B$29</f>
        <v>0</v>
      </c>
      <c r="G21" s="9">
        <f>Assumptions!$B$29</f>
        <v>0</v>
      </c>
      <c r="H21" s="9">
        <f>Assumptions!$B$29</f>
        <v>0</v>
      </c>
      <c r="I21" s="9">
        <f>Assumptions!$B$29</f>
        <v>0</v>
      </c>
      <c r="J21" s="9">
        <f>Assumptions!$B$29</f>
        <v>0</v>
      </c>
      <c r="K21" s="9">
        <f>Assumptions!$B$29</f>
        <v>0</v>
      </c>
      <c r="L21" s="9">
        <f>Assumptions!$B$29</f>
        <v>0</v>
      </c>
      <c r="M21" s="9">
        <f>Assumptions!$B$29</f>
        <v>0</v>
      </c>
    </row>
    <row r="22" spans="1:13">
      <c r="A22" s="5" t="s">
        <v>101</v>
      </c>
      <c r="B22" s="9">
        <f>Assumptions!$B$30</f>
        <v>0</v>
      </c>
      <c r="C22" s="9">
        <f>Assumptions!$B$30</f>
        <v>0</v>
      </c>
      <c r="D22" s="9">
        <f>Assumptions!$B$30</f>
        <v>0</v>
      </c>
      <c r="E22" s="9">
        <f>Assumptions!$B$30</f>
        <v>0</v>
      </c>
      <c r="F22" s="9">
        <f>Assumptions!$B$30</f>
        <v>0</v>
      </c>
      <c r="G22" s="9">
        <f>Assumptions!$B$30</f>
        <v>0</v>
      </c>
      <c r="H22" s="9">
        <f>Assumptions!$B$30</f>
        <v>0</v>
      </c>
      <c r="I22" s="9">
        <f>Assumptions!$B$30</f>
        <v>0</v>
      </c>
      <c r="J22" s="9">
        <f>Assumptions!$B$30</f>
        <v>0</v>
      </c>
      <c r="K22" s="9">
        <f>Assumptions!$B$30</f>
        <v>0</v>
      </c>
      <c r="L22" s="9">
        <f>Assumptions!$B$30</f>
        <v>0</v>
      </c>
      <c r="M22" s="9">
        <f>Assumptions!$B$30</f>
        <v>0</v>
      </c>
    </row>
    <row r="23" spans="1:13">
      <c r="A23" s="2" t="s">
        <v>102</v>
      </c>
      <c r="B23" s="9">
        <f>SUM(B14:B22)</f>
        <v>0</v>
      </c>
      <c r="C23" s="9">
        <f>SUM(C14:C22)</f>
        <v>0</v>
      </c>
      <c r="D23" s="9">
        <f>SUM(D14:D22)</f>
        <v>0</v>
      </c>
      <c r="E23" s="9">
        <f>SUM(E14:E22)</f>
        <v>0</v>
      </c>
      <c r="F23" s="9">
        <f>SUM(F14:F22)</f>
        <v>0</v>
      </c>
      <c r="G23" s="9">
        <f>SUM(G14:G22)</f>
        <v>0</v>
      </c>
      <c r="H23" s="9">
        <f>SUM(H14:H22)</f>
        <v>0</v>
      </c>
      <c r="I23" s="9">
        <f>SUM(I14:I22)</f>
        <v>0</v>
      </c>
      <c r="J23" s="9">
        <f>SUM(J14:J22)</f>
        <v>0</v>
      </c>
      <c r="K23" s="9">
        <f>SUM(K14:K22)</f>
        <v>0</v>
      </c>
      <c r="L23" s="9">
        <f>SUM(L14:L22)</f>
        <v>0</v>
      </c>
      <c r="M23" s="9">
        <f>SUM(M14:M22)</f>
        <v>0</v>
      </c>
    </row>
    <row r="25" spans="1:13">
      <c r="A25" s="2" t="s">
        <v>103</v>
      </c>
    </row>
    <row r="26" spans="1:13">
      <c r="A26" s="5" t="s">
        <v>104</v>
      </c>
      <c r="B26" s="9">
        <f>Assumptions!$B$4</f>
        <v>0</v>
      </c>
      <c r="C26" s="9">
        <f>Assumptions!$B$4</f>
        <v>0</v>
      </c>
      <c r="D26" s="9">
        <f>Assumptions!$B$4</f>
        <v>0</v>
      </c>
      <c r="E26" s="9">
        <f>Assumptions!$B$4</f>
        <v>0</v>
      </c>
      <c r="F26" s="9">
        <f>Assumptions!$B$4</f>
        <v>0</v>
      </c>
      <c r="G26" s="9">
        <f>Assumptions!$B$4</f>
        <v>0</v>
      </c>
      <c r="H26" s="9">
        <f>Assumptions!$B$4</f>
        <v>0</v>
      </c>
      <c r="I26" s="9">
        <f>Assumptions!$B$4</f>
        <v>0</v>
      </c>
      <c r="J26" s="9">
        <f>Assumptions!$B$4</f>
        <v>0</v>
      </c>
      <c r="K26" s="9">
        <f>Assumptions!$B$4</f>
        <v>0</v>
      </c>
      <c r="L26" s="9">
        <f>Assumptions!$B$4</f>
        <v>0</v>
      </c>
      <c r="M26" s="9">
        <f>Assumptions!$B$4</f>
        <v>0</v>
      </c>
    </row>
    <row r="27" spans="1:13">
      <c r="A27" s="5" t="s">
        <v>105</v>
      </c>
      <c r="B27" s="9">
        <f>Assumptions!$B$5</f>
        <v>0</v>
      </c>
      <c r="C27" s="9">
        <f>Assumptions!$B$5</f>
        <v>0</v>
      </c>
      <c r="D27" s="9">
        <f>Assumptions!$B$5</f>
        <v>0</v>
      </c>
      <c r="E27" s="9">
        <f>Assumptions!$B$5</f>
        <v>0</v>
      </c>
      <c r="F27" s="9">
        <f>Assumptions!$B$5</f>
        <v>0</v>
      </c>
      <c r="G27" s="9">
        <f>Assumptions!$B$5</f>
        <v>0</v>
      </c>
      <c r="H27" s="9">
        <f>Assumptions!$B$5</f>
        <v>0</v>
      </c>
      <c r="I27" s="9">
        <f>Assumptions!$B$5</f>
        <v>0</v>
      </c>
      <c r="J27" s="9">
        <f>Assumptions!$B$5</f>
        <v>0</v>
      </c>
      <c r="K27" s="9">
        <f>Assumptions!$B$5</f>
        <v>0</v>
      </c>
      <c r="L27" s="9">
        <f>Assumptions!$B$5</f>
        <v>0</v>
      </c>
      <c r="M27" s="9">
        <f>Assumptions!$B$5</f>
        <v>0</v>
      </c>
    </row>
    <row r="28" spans="1:13">
      <c r="A28" s="5" t="s">
        <v>106</v>
      </c>
      <c r="B28" s="9">
        <f>Assumptions!$B$6</f>
        <v>0</v>
      </c>
      <c r="C28" s="9">
        <f>Assumptions!$B$6</f>
        <v>0</v>
      </c>
      <c r="D28" s="9">
        <f>Assumptions!$B$6</f>
        <v>0</v>
      </c>
      <c r="E28" s="9">
        <f>Assumptions!$B$6</f>
        <v>0</v>
      </c>
      <c r="F28" s="9">
        <f>Assumptions!$B$6</f>
        <v>0</v>
      </c>
      <c r="G28" s="9">
        <f>Assumptions!$B$6</f>
        <v>0</v>
      </c>
      <c r="H28" s="9">
        <f>Assumptions!$B$6</f>
        <v>0</v>
      </c>
      <c r="I28" s="9">
        <f>Assumptions!$B$6</f>
        <v>0</v>
      </c>
      <c r="J28" s="9">
        <f>Assumptions!$B$6</f>
        <v>0</v>
      </c>
      <c r="K28" s="9">
        <f>Assumptions!$B$6</f>
        <v>0</v>
      </c>
      <c r="L28" s="9">
        <f>Assumptions!$B$6</f>
        <v>0</v>
      </c>
      <c r="M28" s="9">
        <f>Assumptions!$B$6</f>
        <v>0</v>
      </c>
    </row>
    <row r="29" spans="1:13">
      <c r="A29" s="5" t="s">
        <v>107</v>
      </c>
      <c r="B29" s="9">
        <f>Assumptions!$B$7</f>
        <v>0</v>
      </c>
      <c r="C29" s="9">
        <f>Assumptions!$B$7</f>
        <v>0</v>
      </c>
      <c r="D29" s="9">
        <f>Assumptions!$B$7</f>
        <v>0</v>
      </c>
      <c r="E29" s="9">
        <f>Assumptions!$B$7</f>
        <v>0</v>
      </c>
      <c r="F29" s="9">
        <f>Assumptions!$B$7</f>
        <v>0</v>
      </c>
      <c r="G29" s="9">
        <f>Assumptions!$B$7</f>
        <v>0</v>
      </c>
      <c r="H29" s="9">
        <f>Assumptions!$B$7</f>
        <v>0</v>
      </c>
      <c r="I29" s="9">
        <f>Assumptions!$B$7</f>
        <v>0</v>
      </c>
      <c r="J29" s="9">
        <f>Assumptions!$B$7</f>
        <v>0</v>
      </c>
      <c r="K29" s="9">
        <f>Assumptions!$B$7</f>
        <v>0</v>
      </c>
      <c r="L29" s="9">
        <f>Assumptions!$B$7</f>
        <v>0</v>
      </c>
      <c r="M29" s="9">
        <f>Assumptions!$B$7</f>
        <v>0</v>
      </c>
    </row>
    <row r="30" spans="1:13">
      <c r="A30" s="5" t="s">
        <v>108</v>
      </c>
      <c r="B30" s="9">
        <f>Assumptions!$B$8</f>
        <v>0</v>
      </c>
      <c r="C30" s="9">
        <f>Assumptions!$B$8</f>
        <v>0</v>
      </c>
      <c r="D30" s="9">
        <f>Assumptions!$B$8</f>
        <v>0</v>
      </c>
      <c r="E30" s="9">
        <f>Assumptions!$B$8</f>
        <v>0</v>
      </c>
      <c r="F30" s="9">
        <f>Assumptions!$B$8</f>
        <v>0</v>
      </c>
      <c r="G30" s="9">
        <f>Assumptions!$B$8</f>
        <v>0</v>
      </c>
      <c r="H30" s="9">
        <f>Assumptions!$B$8</f>
        <v>0</v>
      </c>
      <c r="I30" s="9">
        <f>Assumptions!$B$8</f>
        <v>0</v>
      </c>
      <c r="J30" s="9">
        <f>Assumptions!$B$8</f>
        <v>0</v>
      </c>
      <c r="K30" s="9">
        <f>Assumptions!$B$8</f>
        <v>0</v>
      </c>
      <c r="L30" s="9">
        <f>Assumptions!$B$8</f>
        <v>0</v>
      </c>
      <c r="M30" s="9">
        <f>Assumptions!$B$8</f>
        <v>0</v>
      </c>
    </row>
    <row r="31" spans="1:13">
      <c r="A31" s="5" t="s">
        <v>109</v>
      </c>
      <c r="B31" s="9">
        <f>Assumptions!$B$9</f>
        <v>0</v>
      </c>
      <c r="C31" s="9">
        <f>Assumptions!$B$9</f>
        <v>0</v>
      </c>
      <c r="D31" s="9">
        <f>Assumptions!$B$9</f>
        <v>0</v>
      </c>
      <c r="E31" s="9">
        <f>Assumptions!$B$9</f>
        <v>0</v>
      </c>
      <c r="F31" s="9">
        <f>Assumptions!$B$9</f>
        <v>0</v>
      </c>
      <c r="G31" s="9">
        <f>Assumptions!$B$9</f>
        <v>0</v>
      </c>
      <c r="H31" s="9">
        <f>Assumptions!$B$9</f>
        <v>0</v>
      </c>
      <c r="I31" s="9">
        <f>Assumptions!$B$9</f>
        <v>0</v>
      </c>
      <c r="J31" s="9">
        <f>Assumptions!$B$9</f>
        <v>0</v>
      </c>
      <c r="K31" s="9">
        <f>Assumptions!$B$9</f>
        <v>0</v>
      </c>
      <c r="L31" s="9">
        <f>Assumptions!$B$9</f>
        <v>0</v>
      </c>
      <c r="M31" s="9">
        <f>Assumptions!$B$9</f>
        <v>0</v>
      </c>
    </row>
    <row r="32" spans="1:13">
      <c r="A32" s="5" t="s">
        <v>110</v>
      </c>
      <c r="B32" s="9">
        <f>IF(COLUMN()-1&gt;=Assumptions!$B$11,Assumptions!$B$10,0)</f>
        <v>0</v>
      </c>
      <c r="C32" s="9">
        <f>IF(COLUMN()-1&gt;=Assumptions!$B$11,Assumptions!$B$10,0)</f>
        <v>0</v>
      </c>
      <c r="D32" s="9">
        <f>IF(COLUMN()-1&gt;=Assumptions!$B$11,Assumptions!$B$10,0)</f>
        <v>0</v>
      </c>
      <c r="E32" s="9">
        <f>IF(COLUMN()-1&gt;=Assumptions!$B$11,Assumptions!$B$10,0)</f>
        <v>0</v>
      </c>
      <c r="F32" s="9">
        <f>IF(COLUMN()-1&gt;=Assumptions!$B$11,Assumptions!$B$10,0)</f>
        <v>0</v>
      </c>
      <c r="G32" s="9">
        <f>IF(COLUMN()-1&gt;=Assumptions!$B$11,Assumptions!$B$10,0)</f>
        <v>0</v>
      </c>
      <c r="H32" s="9">
        <f>IF(COLUMN()-1&gt;=Assumptions!$B$11,Assumptions!$B$10,0)</f>
        <v>0</v>
      </c>
      <c r="I32" s="9">
        <f>IF(COLUMN()-1&gt;=Assumptions!$B$11,Assumptions!$B$10,0)</f>
        <v>0</v>
      </c>
      <c r="J32" s="9">
        <f>IF(COLUMN()-1&gt;=Assumptions!$B$11,Assumptions!$B$10,0)</f>
        <v>0</v>
      </c>
      <c r="K32" s="9">
        <f>IF(COLUMN()-1&gt;=Assumptions!$B$11,Assumptions!$B$10,0)</f>
        <v>0</v>
      </c>
      <c r="L32" s="9">
        <f>IF(COLUMN()-1&gt;=Assumptions!$B$11,Assumptions!$B$10,0)</f>
        <v>0</v>
      </c>
      <c r="M32" s="9">
        <f>IF(COLUMN()-1&gt;=Assumptions!$B$11,Assumptions!$B$10,0)</f>
        <v>0</v>
      </c>
    </row>
    <row r="33" spans="1:13">
      <c r="A33" s="5" t="s">
        <v>111</v>
      </c>
      <c r="B33" s="9">
        <f>CHOOSE(COLUMN()-1,Assumptions!$B$13,Assumptions!$B$14,Assumptions!$B$15,Assumptions!$B$16,0,0,0,0,Assumptions!$B$17,0,0,Assumptions!$B$18)</f>
        <v>0</v>
      </c>
      <c r="C33" s="9">
        <f>CHOOSE(COLUMN()-1,Assumptions!$B$13,Assumptions!$B$14,Assumptions!$B$15,Assumptions!$B$16,0,0,0,0,Assumptions!$B$17,0,0,Assumptions!$B$18)</f>
        <v>0</v>
      </c>
      <c r="D33" s="9">
        <f>CHOOSE(COLUMN()-1,Assumptions!$B$13,Assumptions!$B$14,Assumptions!$B$15,Assumptions!$B$16,0,0,0,0,Assumptions!$B$17,0,0,Assumptions!$B$18)</f>
        <v>0</v>
      </c>
      <c r="E33" s="9">
        <f>CHOOSE(COLUMN()-1,Assumptions!$B$13,Assumptions!$B$14,Assumptions!$B$15,Assumptions!$B$16,0,0,0,0,Assumptions!$B$17,0,0,Assumptions!$B$18)</f>
        <v>0</v>
      </c>
      <c r="F33" s="9">
        <f>CHOOSE(COLUMN()-1,Assumptions!$B$13,Assumptions!$B$14,Assumptions!$B$15,Assumptions!$B$16,0,0,0,0,Assumptions!$B$17,0,0,Assumptions!$B$18)</f>
        <v>0</v>
      </c>
      <c r="G33" s="9">
        <f>CHOOSE(COLUMN()-1,Assumptions!$B$13,Assumptions!$B$14,Assumptions!$B$15,Assumptions!$B$16,0,0,0,0,Assumptions!$B$17,0,0,Assumptions!$B$18)</f>
        <v>0</v>
      </c>
      <c r="H33" s="9">
        <f>CHOOSE(COLUMN()-1,Assumptions!$B$13,Assumptions!$B$14,Assumptions!$B$15,Assumptions!$B$16,0,0,0,0,Assumptions!$B$17,0,0,Assumptions!$B$18)</f>
        <v>0</v>
      </c>
      <c r="I33" s="9">
        <f>CHOOSE(COLUMN()-1,Assumptions!$B$13,Assumptions!$B$14,Assumptions!$B$15,Assumptions!$B$16,0,0,0,0,Assumptions!$B$17,0,0,Assumptions!$B$18)</f>
        <v>0</v>
      </c>
      <c r="J33" s="9">
        <f>CHOOSE(COLUMN()-1,Assumptions!$B$13,Assumptions!$B$14,Assumptions!$B$15,Assumptions!$B$16,0,0,0,0,Assumptions!$B$17,0,0,Assumptions!$B$18)</f>
        <v>0</v>
      </c>
      <c r="K33" s="9">
        <f>CHOOSE(COLUMN()-1,Assumptions!$B$13,Assumptions!$B$14,Assumptions!$B$15,Assumptions!$B$16,0,0,0,0,Assumptions!$B$17,0,0,Assumptions!$B$18)</f>
        <v>0</v>
      </c>
      <c r="L33" s="9">
        <f>CHOOSE(COLUMN()-1,Assumptions!$B$13,Assumptions!$B$14,Assumptions!$B$15,Assumptions!$B$16,0,0,0,0,Assumptions!$B$17,0,0,Assumptions!$B$18)</f>
        <v>0</v>
      </c>
      <c r="M33" s="9">
        <f>CHOOSE(COLUMN()-1,Assumptions!$B$13,Assumptions!$B$14,Assumptions!$B$15,Assumptions!$B$16,0,0,0,0,Assumptions!$B$17,0,0,Assumptions!$B$18)</f>
        <v>0</v>
      </c>
    </row>
    <row r="34" spans="1:13">
      <c r="A34" s="5" t="s">
        <v>112</v>
      </c>
      <c r="B34" s="9">
        <f>CHOOSE(COLUMN()-1,0,Assumptions!$B$19,Assumptions!$B$20,0,0,0,0,0,0,0,0,0)</f>
        <v>0</v>
      </c>
      <c r="C34" s="9">
        <f>CHOOSE(COLUMN()-1,0,Assumptions!$B$19,Assumptions!$B$20,0,0,0,0,0,0,0,0,0)</f>
        <v>0</v>
      </c>
      <c r="D34" s="9">
        <f>CHOOSE(COLUMN()-1,0,Assumptions!$B$19,Assumptions!$B$20,0,0,0,0,0,0,0,0,0)</f>
        <v>0</v>
      </c>
      <c r="E34" s="9">
        <f>CHOOSE(COLUMN()-1,0,Assumptions!$B$19,Assumptions!$B$20,0,0,0,0,0,0,0,0,0)</f>
        <v>0</v>
      </c>
      <c r="F34" s="9">
        <f>CHOOSE(COLUMN()-1,0,Assumptions!$B$19,Assumptions!$B$20,0,0,0,0,0,0,0,0,0)</f>
        <v>0</v>
      </c>
      <c r="G34" s="9">
        <f>CHOOSE(COLUMN()-1,0,Assumptions!$B$19,Assumptions!$B$20,0,0,0,0,0,0,0,0,0)</f>
        <v>0</v>
      </c>
      <c r="H34" s="9">
        <f>CHOOSE(COLUMN()-1,0,Assumptions!$B$19,Assumptions!$B$20,0,0,0,0,0,0,0,0,0)</f>
        <v>0</v>
      </c>
      <c r="I34" s="9">
        <f>CHOOSE(COLUMN()-1,0,Assumptions!$B$19,Assumptions!$B$20,0,0,0,0,0,0,0,0,0)</f>
        <v>0</v>
      </c>
      <c r="J34" s="9">
        <f>CHOOSE(COLUMN()-1,0,Assumptions!$B$19,Assumptions!$B$20,0,0,0,0,0,0,0,0,0)</f>
        <v>0</v>
      </c>
      <c r="K34" s="9">
        <f>CHOOSE(COLUMN()-1,0,Assumptions!$B$19,Assumptions!$B$20,0,0,0,0,0,0,0,0,0)</f>
        <v>0</v>
      </c>
      <c r="L34" s="9">
        <f>CHOOSE(COLUMN()-1,0,Assumptions!$B$19,Assumptions!$B$20,0,0,0,0,0,0,0,0,0)</f>
        <v>0</v>
      </c>
      <c r="M34" s="9">
        <f>CHOOSE(COLUMN()-1,0,Assumptions!$B$19,Assumptions!$B$20,0,0,0,0,0,0,0,0,0)</f>
        <v>0</v>
      </c>
    </row>
    <row r="35" spans="1:13">
      <c r="A35" s="2" t="s">
        <v>113</v>
      </c>
      <c r="B35" s="9">
        <f>SUM(B26:B34)</f>
        <v>0</v>
      </c>
      <c r="C35" s="9">
        <f>SUM(C26:C34)</f>
        <v>0</v>
      </c>
      <c r="D35" s="9">
        <f>SUM(D26:D34)</f>
        <v>0</v>
      </c>
      <c r="E35" s="9">
        <f>SUM(E26:E34)</f>
        <v>0</v>
      </c>
      <c r="F35" s="9">
        <f>SUM(F26:F34)</f>
        <v>0</v>
      </c>
      <c r="G35" s="9">
        <f>SUM(G26:G34)</f>
        <v>0</v>
      </c>
      <c r="H35" s="9">
        <f>SUM(H26:H34)</f>
        <v>0</v>
      </c>
      <c r="I35" s="9">
        <f>SUM(I26:I34)</f>
        <v>0</v>
      </c>
      <c r="J35" s="9">
        <f>SUM(J26:J34)</f>
        <v>0</v>
      </c>
      <c r="K35" s="9">
        <f>SUM(K26:K34)</f>
        <v>0</v>
      </c>
      <c r="L35" s="9">
        <f>SUM(L26:L34)</f>
        <v>0</v>
      </c>
      <c r="M35" s="9">
        <f>SUM(M26:M34)</f>
        <v>0</v>
      </c>
    </row>
    <row r="37" spans="1:13">
      <c r="A37" s="2" t="s">
        <v>114</v>
      </c>
    </row>
    <row r="38" spans="1:13">
      <c r="A38" s="5" t="s">
        <v>115</v>
      </c>
      <c r="B38" s="9">
        <f>B23-B35</f>
        <v>0</v>
      </c>
      <c r="C38" s="9">
        <f>C23-C35</f>
        <v>0</v>
      </c>
      <c r="D38" s="9">
        <f>D23-D35</f>
        <v>0</v>
      </c>
      <c r="E38" s="9">
        <f>E23-E35</f>
        <v>0</v>
      </c>
      <c r="F38" s="9">
        <f>F23-F35</f>
        <v>0</v>
      </c>
      <c r="G38" s="9">
        <f>G23-G35</f>
        <v>0</v>
      </c>
      <c r="H38" s="9">
        <f>H23-H35</f>
        <v>0</v>
      </c>
      <c r="I38" s="9">
        <f>I23-I35</f>
        <v>0</v>
      </c>
      <c r="J38" s="9">
        <f>J23-J35</f>
        <v>0</v>
      </c>
      <c r="K38" s="9">
        <f>K23-K35</f>
        <v>0</v>
      </c>
      <c r="L38" s="9">
        <f>L23-L35</f>
        <v>0</v>
      </c>
      <c r="M38" s="9">
        <f>M23-M35</f>
        <v>0</v>
      </c>
    </row>
    <row r="39" spans="1:13">
      <c r="A39" s="5" t="s">
        <v>116</v>
      </c>
      <c r="B39" s="9">
        <f>B38</f>
        <v>0</v>
      </c>
      <c r="C39" s="9">
        <f>B39+C38</f>
        <v>0</v>
      </c>
      <c r="D39" s="9">
        <f>C39+D38</f>
        <v>0</v>
      </c>
      <c r="E39" s="9">
        <f>D39+E38</f>
        <v>0</v>
      </c>
      <c r="F39" s="9">
        <f>E39+F38</f>
        <v>0</v>
      </c>
      <c r="G39" s="9">
        <f>F39+G38</f>
        <v>0</v>
      </c>
      <c r="H39" s="9">
        <f>G39+H38</f>
        <v>0</v>
      </c>
      <c r="I39" s="9">
        <f>H39+I38</f>
        <v>0</v>
      </c>
      <c r="J39" s="9">
        <f>I39+J38</f>
        <v>0</v>
      </c>
      <c r="K39" s="9">
        <f>J39+K38</f>
        <v>0</v>
      </c>
      <c r="L39" s="9">
        <f>K39+L38</f>
        <v>0</v>
      </c>
      <c r="M39" s="9">
        <f>L39+M38</f>
        <v>0</v>
      </c>
    </row>
    <row r="40" spans="1:13">
      <c r="A40" s="5" t="s">
        <v>117</v>
      </c>
      <c r="B40" s="9">
        <f>Assumptions!$B$28</f>
        <v>0</v>
      </c>
      <c r="C40" s="9">
        <f>B41</f>
        <v>0</v>
      </c>
      <c r="D40" s="9">
        <f>C41</f>
        <v>0</v>
      </c>
      <c r="E40" s="9">
        <f>D41</f>
        <v>0</v>
      </c>
      <c r="F40" s="9">
        <f>E41</f>
        <v>0</v>
      </c>
      <c r="G40" s="9">
        <f>F41</f>
        <v>0</v>
      </c>
      <c r="H40" s="9">
        <f>G41</f>
        <v>0</v>
      </c>
      <c r="I40" s="9">
        <f>H41</f>
        <v>0</v>
      </c>
      <c r="J40" s="9">
        <f>I41</f>
        <v>0</v>
      </c>
      <c r="K40" s="9">
        <f>J41</f>
        <v>0</v>
      </c>
      <c r="L40" s="9">
        <f>K41</f>
        <v>0</v>
      </c>
      <c r="M40" s="9">
        <f>L41</f>
        <v>0</v>
      </c>
    </row>
    <row r="41" spans="1:13">
      <c r="A41" s="5" t="s">
        <v>118</v>
      </c>
      <c r="B41" s="9">
        <f>B40+B38</f>
        <v>0</v>
      </c>
      <c r="C41" s="9">
        <f>C40+C38</f>
        <v>0</v>
      </c>
      <c r="D41" s="9">
        <f>D40+D38</f>
        <v>0</v>
      </c>
      <c r="E41" s="9">
        <f>E40+E38</f>
        <v>0</v>
      </c>
      <c r="F41" s="9">
        <f>F40+F38</f>
        <v>0</v>
      </c>
      <c r="G41" s="9">
        <f>G40+G38</f>
        <v>0</v>
      </c>
      <c r="H41" s="9">
        <f>H40+H38</f>
        <v>0</v>
      </c>
      <c r="I41" s="9">
        <f>I40+I38</f>
        <v>0</v>
      </c>
      <c r="J41" s="9">
        <f>J40+J38</f>
        <v>0</v>
      </c>
      <c r="K41" s="9">
        <f>K40+K38</f>
        <v>0</v>
      </c>
      <c r="L41" s="9">
        <f>L40+L38</f>
        <v>0</v>
      </c>
      <c r="M41" s="9">
        <f>M40+M38</f>
        <v>0</v>
      </c>
    </row>
    <row r="42" spans="1:13">
      <c r="A42" s="5" t="s">
        <v>119</v>
      </c>
      <c r="B42" s="9">
        <f>B41-Assumptions!$B$12</f>
        <v>0</v>
      </c>
      <c r="C42" s="9">
        <f>C41-Assumptions!$B$12</f>
        <v>0</v>
      </c>
      <c r="D42" s="9">
        <f>D41-Assumptions!$B$12</f>
        <v>0</v>
      </c>
      <c r="E42" s="9">
        <f>E41-Assumptions!$B$12</f>
        <v>0</v>
      </c>
      <c r="F42" s="9">
        <f>F41-Assumptions!$B$12</f>
        <v>0</v>
      </c>
      <c r="G42" s="9">
        <f>G41-Assumptions!$B$12</f>
        <v>0</v>
      </c>
      <c r="H42" s="9">
        <f>H41-Assumptions!$B$12</f>
        <v>0</v>
      </c>
      <c r="I42" s="9">
        <f>I41-Assumptions!$B$12</f>
        <v>0</v>
      </c>
      <c r="J42" s="9">
        <f>J41-Assumptions!$B$12</f>
        <v>0</v>
      </c>
      <c r="K42" s="9">
        <f>K41-Assumptions!$B$12</f>
        <v>0</v>
      </c>
      <c r="L42" s="9">
        <f>L41-Assumptions!$B$12</f>
        <v>0</v>
      </c>
      <c r="M42" s="9">
        <f>M41-Assumptions!$B$12</f>
        <v>0</v>
      </c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65E2E"/>
  </sheetPr>
  <dimension ref="A1:C20"/>
  <sheetViews>
    <sheetView showGridLines="0" workbookViewId="0"/>
  </sheetViews>
  <sheetFormatPr defaultRowHeight="15"/>
  <cols>
    <col min="1" max="1" width="48.7109375" customWidth="1"/>
    <col min="2" max="2" width="22.7109375" customWidth="1"/>
    <col min="3" max="3" width="72.7109375" customWidth="1"/>
  </cols>
  <sheetData>
    <row r="1" spans="1:3">
      <c r="A1" s="1" t="s">
        <v>120</v>
      </c>
      <c r="B1" s="1"/>
      <c r="C1" s="1"/>
    </row>
    <row r="3" spans="1:3">
      <c r="A3" s="4" t="s">
        <v>121</v>
      </c>
      <c r="B3" s="4" t="s">
        <v>122</v>
      </c>
      <c r="C3" s="4" t="s">
        <v>123</v>
      </c>
    </row>
    <row r="4" spans="1:3">
      <c r="A4" s="5" t="s">
        <v>124</v>
      </c>
      <c r="B4" s="9">
        <f>SUM('12 Month Cash Flow'!B23:M23)</f>
        <v>0</v>
      </c>
      <c r="C4" s="3" t="s">
        <v>125</v>
      </c>
    </row>
    <row r="5" spans="1:3">
      <c r="A5" s="5" t="s">
        <v>126</v>
      </c>
      <c r="B5" s="9">
        <f>SUM('12 Month Cash Flow'!B35:M35)</f>
        <v>0</v>
      </c>
      <c r="C5" s="3" t="s">
        <v>127</v>
      </c>
    </row>
    <row r="6" spans="1:3">
      <c r="A6" s="5" t="s">
        <v>128</v>
      </c>
      <c r="B6" s="9">
        <f>B4-B5</f>
        <v>0</v>
      </c>
      <c r="C6" s="3" t="s">
        <v>129</v>
      </c>
    </row>
    <row r="7" spans="1:3">
      <c r="A7" s="5" t="s">
        <v>130</v>
      </c>
      <c r="B7" s="9">
        <f>MIN('12 Month Cash Flow'!B39:M39)</f>
        <v>0</v>
      </c>
      <c r="C7" s="3" t="s">
        <v>131</v>
      </c>
    </row>
    <row r="8" spans="1:3">
      <c r="A8" s="5" t="s">
        <v>132</v>
      </c>
      <c r="B8" s="9">
        <f>Assumptions!$B$12</f>
        <v>0</v>
      </c>
      <c r="C8" s="3" t="s">
        <v>133</v>
      </c>
    </row>
    <row r="9" spans="1:3">
      <c r="A9" s="5" t="s">
        <v>134</v>
      </c>
      <c r="B9" s="9">
        <f>MAX(0,-B7+B8)</f>
        <v>0</v>
      </c>
      <c r="C9" s="3" t="s">
        <v>135</v>
      </c>
    </row>
    <row r="10" spans="1:3">
      <c r="A10" s="5" t="s">
        <v>136</v>
      </c>
      <c r="B10" s="9">
        <f>B9*10%</f>
        <v>0</v>
      </c>
      <c r="C10" s="3" t="s">
        <v>137</v>
      </c>
    </row>
    <row r="11" spans="1:3">
      <c r="A11" s="5" t="s">
        <v>138</v>
      </c>
      <c r="B11" s="9">
        <f>B9+B10</f>
        <v>0</v>
      </c>
      <c r="C11" s="3" t="s">
        <v>139</v>
      </c>
    </row>
    <row r="12" spans="1:3">
      <c r="A12" s="5" t="s">
        <v>140</v>
      </c>
      <c r="B12" s="9">
        <f>Assumptions!$B$28</f>
        <v>0</v>
      </c>
      <c r="C12" s="3" t="s">
        <v>141</v>
      </c>
    </row>
    <row r="13" spans="1:3">
      <c r="A13" s="5" t="s">
        <v>142</v>
      </c>
      <c r="B13" s="9">
        <f>B12-B11</f>
        <v>0</v>
      </c>
      <c r="C13" s="3" t="s">
        <v>143</v>
      </c>
    </row>
    <row r="16" spans="1:3">
      <c r="A16" s="2" t="s">
        <v>144</v>
      </c>
    </row>
    <row r="17" spans="1:3">
      <c r="A17" s="5" t="s">
        <v>145</v>
      </c>
      <c r="B17" s="5" t="s">
        <v>146</v>
      </c>
      <c r="C17" s="3" t="s">
        <v>147</v>
      </c>
    </row>
    <row r="18" spans="1:3">
      <c r="A18" s="5" t="s">
        <v>148</v>
      </c>
      <c r="B18" s="5" t="s">
        <v>149</v>
      </c>
      <c r="C18" s="3" t="s">
        <v>150</v>
      </c>
    </row>
    <row r="19" spans="1:3">
      <c r="A19" s="5" t="s">
        <v>151</v>
      </c>
      <c r="B19" s="5" t="s">
        <v>152</v>
      </c>
      <c r="C19" s="3" t="s">
        <v>153</v>
      </c>
    </row>
    <row r="20" spans="1:3">
      <c r="A20" s="5" t="s">
        <v>154</v>
      </c>
      <c r="B20" s="5" t="s">
        <v>155</v>
      </c>
      <c r="C20" s="3" t="s">
        <v>156</v>
      </c>
    </row>
  </sheetData>
  <mergeCells count="1">
    <mergeCell ref="A1:C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6B5B95"/>
  </sheetPr>
  <dimension ref="A1:C22"/>
  <sheetViews>
    <sheetView showGridLines="0" workbookViewId="0"/>
  </sheetViews>
  <sheetFormatPr defaultRowHeight="15"/>
  <cols>
    <col min="1" max="1" width="46.7109375" customWidth="1"/>
    <col min="2" max="2" width="20.7109375" customWidth="1"/>
    <col min="3" max="3" width="66.7109375" customWidth="1"/>
  </cols>
  <sheetData>
    <row r="1" spans="1:3">
      <c r="A1" s="1" t="s">
        <v>157</v>
      </c>
      <c r="B1" s="1"/>
      <c r="C1" s="1"/>
    </row>
    <row r="3" spans="1:3">
      <c r="A3" s="4" t="s">
        <v>158</v>
      </c>
      <c r="B3" s="4" t="s">
        <v>122</v>
      </c>
      <c r="C3" s="4" t="s">
        <v>13</v>
      </c>
    </row>
    <row r="4" spans="1:3">
      <c r="A4" s="5" t="s">
        <v>159</v>
      </c>
      <c r="B4" s="7">
        <v>10</v>
      </c>
      <c r="C4" s="3" t="s">
        <v>160</v>
      </c>
    </row>
    <row r="5" spans="1:3">
      <c r="A5" s="5" t="s">
        <v>161</v>
      </c>
      <c r="B5" s="7">
        <v>5</v>
      </c>
      <c r="C5" s="3" t="s">
        <v>160</v>
      </c>
    </row>
    <row r="6" spans="1:3">
      <c r="A6" s="5" t="s">
        <v>162</v>
      </c>
      <c r="B6" s="7">
        <v>10</v>
      </c>
      <c r="C6" s="3" t="s">
        <v>163</v>
      </c>
    </row>
    <row r="7" spans="1:3">
      <c r="A7" s="5" t="s">
        <v>164</v>
      </c>
      <c r="B7" s="7">
        <v>5</v>
      </c>
      <c r="C7" s="3" t="s">
        <v>165</v>
      </c>
    </row>
    <row r="8" spans="1:3">
      <c r="A8" s="5" t="s">
        <v>166</v>
      </c>
      <c r="B8" s="7">
        <v>400</v>
      </c>
      <c r="C8" s="3" t="s">
        <v>167</v>
      </c>
    </row>
    <row r="9" spans="1:3">
      <c r="A9" s="5" t="s">
        <v>168</v>
      </c>
      <c r="B9" s="7">
        <v>12</v>
      </c>
      <c r="C9" s="3" t="s">
        <v>169</v>
      </c>
    </row>
    <row r="10" spans="1:3">
      <c r="A10" s="5" t="s">
        <v>170</v>
      </c>
      <c r="B10" s="7">
        <v>4</v>
      </c>
      <c r="C10" s="3" t="s">
        <v>171</v>
      </c>
    </row>
    <row r="12" spans="1:3">
      <c r="A12" s="2" t="s">
        <v>92</v>
      </c>
    </row>
    <row r="13" spans="1:3">
      <c r="A13" s="5" t="s">
        <v>172</v>
      </c>
      <c r="B13" s="9">
        <f>B6*Assumptions!$B$21</f>
        <v>0</v>
      </c>
      <c r="C13" s="3" t="s">
        <v>173</v>
      </c>
    </row>
    <row r="14" spans="1:3">
      <c r="A14" s="5" t="s">
        <v>174</v>
      </c>
      <c r="B14" s="9">
        <f>B7*Assumptions!$B$22</f>
        <v>0</v>
      </c>
      <c r="C14" s="3" t="s">
        <v>173</v>
      </c>
    </row>
    <row r="15" spans="1:3">
      <c r="A15" s="5" t="s">
        <v>95</v>
      </c>
      <c r="B15" s="9">
        <f>B4*Assumptions!$B$23*12</f>
        <v>0</v>
      </c>
      <c r="C15" s="3" t="s">
        <v>173</v>
      </c>
    </row>
    <row r="16" spans="1:3">
      <c r="A16" s="5" t="s">
        <v>96</v>
      </c>
      <c r="B16" s="9">
        <f>B5*Assumptions!$B$24*12</f>
        <v>0</v>
      </c>
      <c r="C16" s="3" t="s">
        <v>173</v>
      </c>
    </row>
    <row r="17" spans="1:3">
      <c r="A17" s="5" t="s">
        <v>97</v>
      </c>
      <c r="B17" s="9">
        <f>B8*Assumptions!$B$25</f>
        <v>0</v>
      </c>
      <c r="C17" s="3" t="s">
        <v>173</v>
      </c>
    </row>
    <row r="18" spans="1:3">
      <c r="A18" s="5" t="s">
        <v>98</v>
      </c>
      <c r="B18" s="9">
        <f>B4*B9*12*Assumptions!$B$26</f>
        <v>0</v>
      </c>
      <c r="C18" s="3" t="s">
        <v>173</v>
      </c>
    </row>
    <row r="19" spans="1:3">
      <c r="A19" s="5" t="s">
        <v>175</v>
      </c>
      <c r="B19" s="9">
        <f>B10*Assumptions!$B$27</f>
        <v>0</v>
      </c>
      <c r="C19" s="3" t="s">
        <v>173</v>
      </c>
    </row>
    <row r="20" spans="1:3">
      <c r="A20" s="5" t="s">
        <v>100</v>
      </c>
      <c r="B20" s="9">
        <f>Assumptions!$B$29*12</f>
        <v>0</v>
      </c>
      <c r="C20" s="3" t="s">
        <v>173</v>
      </c>
    </row>
    <row r="21" spans="1:3">
      <c r="A21" s="5" t="s">
        <v>101</v>
      </c>
      <c r="B21" s="9">
        <f>Assumptions!$B$30*12</f>
        <v>0</v>
      </c>
      <c r="C21" s="3" t="s">
        <v>173</v>
      </c>
    </row>
    <row r="22" spans="1:3">
      <c r="A22" s="2" t="s">
        <v>176</v>
      </c>
      <c r="B22" s="9">
        <f>SUM(B13:B21)</f>
        <v>0</v>
      </c>
      <c r="C22" s="3" t="s">
        <v>177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Assumptions</vt:lpstr>
      <vt:lpstr>12 Month Cash Flow</vt:lpstr>
      <vt:lpstr>Funding</vt:lpstr>
      <vt:lpstr>Mature Run Rate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2026-10-07T19:26:51Z</dcterms:created>
  <dcterms:modified xsi:type="dcterms:W3CDTF">2026-10-07T19:26:51Z</dcterms:modified>
</cp:coreProperties>
</file>