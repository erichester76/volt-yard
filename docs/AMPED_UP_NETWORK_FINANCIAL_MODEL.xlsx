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ad Me" sheetId="1" state="visible" r:id="rId1"/>
    <sheet name="Assumptions" sheetId="2" state="visible" r:id="rId2"/>
    <sheet name="12 Month Cash Flow" sheetId="3" state="visible" r:id="rId3"/>
    <sheet name="Funding" sheetId="4" state="visible" r:id="rId4"/>
    <sheet name="Mature Run Rate" sheetId="5" state="visible" r:id="rId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$#,##0;[Red]($#,##0)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i val="1"/>
      <color rgb="FF5B6573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76678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/>
    </xf>
    <xf numFmtId="0" fontId="0" fillId="0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1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B7"/>
  <sheetViews>
    <sheetView showGridLines="0" tabSelected="1" workbookViewId="0">
      <selection activeCell="A1" sqref="A1"/>
    </sheetView>
  </sheetViews>
  <sheetFormatPr baseColWidth="8" defaultRowHeight="15"/>
  <cols>
    <col width="24.7109375" customWidth="1" min="1" max="1"/>
    <col width="110.7109375" customWidth="1" min="2" max="2"/>
  </cols>
  <sheetData>
    <row r="1">
      <c r="A1" s="1" t="inlineStr">
        <is>
          <t>Amped Up Network Financial Model</t>
        </is>
      </c>
    </row>
    <row r="3">
      <c r="A3" s="2" t="inlineStr">
        <is>
          <t>How to use</t>
        </is>
      </c>
      <c r="B3" s="3" t="inlineStr">
        <is>
          <t>Edit yellow cells only. Assumptions controls recurring cost, member-acquisition cost, and price drivers; yellow rows on 12 Month Cash Flow control launch timing, one-time payment timing, and outside funding/debt/investment draws. Vendor campaign contributions are modeled as revenue and their incremental delivery cost is modeled separately. Formula rows recalculate automatically when opened in Excel, Numbers, or Google Sheets.</t>
        </is>
      </c>
    </row>
    <row r="5">
      <c r="A5" s="2" t="inlineStr">
        <is>
          <t>Backloading</t>
        </is>
      </c>
      <c r="B5" s="3" t="inlineStr">
        <is>
          <t>Set each recurring expense start month on Assumptions. Move legal, equipment, and other one-time payments across the yellow schedule on 12 Month Cash Flow. Certified and specialty/infrastructure booking volumes are calculated separately from their own qualification delays, trailing booking targets, and fixed fees on Assumptions. Use the yellow External funding draw row only when a loan, investment, or founder contribution is expected to close; do not count an uncommitted source as cash.</t>
        </is>
      </c>
    </row>
    <row r="7">
      <c r="A7" s="2" t="inlineStr">
        <is>
          <t>Capital decision</t>
        </is>
      </c>
      <c r="B7" s="3" t="inlineStr">
        <is>
          <t>Funding calculates the reserve requirement from the lowest cash point before funding. It shows the difference between minimum required funding and the timing of a proposed draw. All figures are planning assumptions, not financial advice or an earnings claim.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76678"/>
    <outlinePr summaryBelow="1" summaryRight="1"/>
    <pageSetUpPr/>
  </sheetPr>
  <dimension ref="A1:D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.7109375" customWidth="1" min="1" max="1"/>
    <col width="16.7109375" customWidth="1" min="2" max="2"/>
    <col width="18.7109375" customWidth="1" min="3" max="3"/>
    <col width="70.7109375" customWidth="1" min="4" max="4"/>
  </cols>
  <sheetData>
    <row r="1">
      <c r="A1" s="1" t="inlineStr">
        <is>
          <t>Editable Assumptions</t>
        </is>
      </c>
    </row>
    <row r="3">
      <c r="A3" s="4" t="inlineStr">
        <is>
          <t>Driver</t>
        </is>
      </c>
      <c r="B3" s="4" t="inlineStr">
        <is>
          <t>Value</t>
        </is>
      </c>
      <c r="C3" s="4" t="inlineStr">
        <is>
          <t>Units</t>
        </is>
      </c>
      <c r="D3" s="4" t="inlineStr">
        <is>
          <t>Notes</t>
        </is>
      </c>
    </row>
    <row r="4">
      <c r="A4" s="5" t="inlineStr">
        <is>
          <t>Founder / operations monthly cash cost</t>
        </is>
      </c>
      <c r="B4" s="6" t="n">
        <v>4000</v>
      </c>
      <c r="C4" s="5" t="inlineStr">
        <is>
          <t>per month</t>
        </is>
      </c>
      <c r="D4" s="3" t="inlineStr">
        <is>
          <t>Founder-led draw and targeted operating support; excludes replacement-value labor.</t>
        </is>
      </c>
    </row>
    <row r="5">
      <c r="A5" s="5" t="inlineStr">
        <is>
          <t>Founder / operations start month</t>
        </is>
      </c>
      <c r="B5" s="7" t="n">
        <v>4</v>
      </c>
      <c r="C5" s="5" t="inlineStr">
        <is>
          <t>month number</t>
        </is>
      </c>
      <c r="D5" s="3" t="inlineStr">
        <is>
          <t>Delay draw until the business reaches the chosen milestone; do not defer necessary safety/compliance work.</t>
        </is>
      </c>
    </row>
    <row r="6">
      <c r="A6" s="5" t="inlineStr">
        <is>
          <t>Engineering / product monthly cash cost</t>
        </is>
      </c>
      <c r="B6" s="6" t="n">
        <v>2000</v>
      </c>
      <c r="C6" s="5" t="inlineStr">
        <is>
          <t>per month</t>
        </is>
      </c>
      <c r="D6" s="3" t="inlineStr">
        <is>
          <t>Contract only milestone-critical work.</t>
        </is>
      </c>
    </row>
    <row r="7">
      <c r="A7" s="5" t="inlineStr">
        <is>
          <t>Engineering / product start month</t>
        </is>
      </c>
      <c r="B7" s="7" t="n">
        <v>2</v>
      </c>
      <c r="C7" s="5" t="inlineStr">
        <is>
          <t>month number</t>
        </is>
      </c>
      <c r="D7" s="3" t="n"/>
    </row>
    <row r="8">
      <c r="A8" s="5" t="inlineStr">
        <is>
          <t>Content / social monthly cash cost</t>
        </is>
      </c>
      <c r="B8" s="6" t="n">
        <v>1500</v>
      </c>
      <c r="C8" s="5" t="inlineStr">
        <is>
          <t>per month</t>
        </is>
      </c>
      <c r="D8" s="3" t="inlineStr">
        <is>
          <t>Family-assisted production plus targeted outside work.</t>
        </is>
      </c>
    </row>
    <row r="9">
      <c r="A9" s="5" t="inlineStr">
        <is>
          <t>Content / social start month</t>
        </is>
      </c>
      <c r="B9" s="7" t="n">
        <v>3</v>
      </c>
      <c r="C9" s="5" t="inlineStr">
        <is>
          <t>month number</t>
        </is>
      </c>
      <c r="D9" s="3" t="n"/>
    </row>
    <row r="10">
      <c r="A10" s="5" t="inlineStr">
        <is>
          <t>Software / payments / data monthly cost</t>
        </is>
      </c>
      <c r="B10" s="6" t="n">
        <v>1500</v>
      </c>
      <c r="C10" s="5" t="inlineStr">
        <is>
          <t>per month</t>
        </is>
      </c>
      <c r="D10" s="3" t="inlineStr">
        <is>
          <t>Hosting, communications, analytics, CRM, and payment tooling.</t>
        </is>
      </c>
    </row>
    <row r="11">
      <c r="A11" s="5" t="inlineStr">
        <is>
          <t>Software / payments / data start month</t>
        </is>
      </c>
      <c r="B11" s="7" t="n">
        <v>1</v>
      </c>
      <c r="C11" s="5" t="inlineStr">
        <is>
          <t>month number</t>
        </is>
      </c>
      <c r="D11" s="3" t="n"/>
    </row>
    <row r="12">
      <c r="A12" s="5" t="inlineStr">
        <is>
          <t>Marketing / event monthly cash cost</t>
        </is>
      </c>
      <c r="B12" s="6" t="n">
        <v>1500</v>
      </c>
      <c r="C12" s="5" t="inlineStr">
        <is>
          <t>per month</t>
        </is>
      </c>
      <c r="D12" s="3" t="inlineStr">
        <is>
          <t>Partner-hosted and co-funded events; no self-funded large shows in year one.</t>
        </is>
      </c>
    </row>
    <row r="13">
      <c r="A13" s="5" t="inlineStr">
        <is>
          <t>Marketing / event start month</t>
        </is>
      </c>
      <c r="B13" s="7" t="n">
        <v>4</v>
      </c>
      <c r="C13" s="5" t="inlineStr">
        <is>
          <t>month number</t>
        </is>
      </c>
      <c r="D13" s="3" t="n"/>
    </row>
    <row r="14">
      <c r="A14" s="5" t="inlineStr">
        <is>
          <t>Premises branding / place-based media monthly cost</t>
        </is>
      </c>
      <c r="B14" s="6" t="n">
        <v>1250</v>
      </c>
      <c r="C14" s="5" t="inlineStr">
        <is>
          <t>per month</t>
        </is>
      </c>
      <c r="D14" s="3" t="inlineStr">
        <is>
          <t>Partner kits and small local media tests before billboards.</t>
        </is>
      </c>
    </row>
    <row r="15">
      <c r="A15" s="5" t="inlineStr">
        <is>
          <t>Premises branding / place-based media start month</t>
        </is>
      </c>
      <c r="B15" s="7" t="n">
        <v>4</v>
      </c>
      <c r="C15" s="5" t="inlineStr">
        <is>
          <t>month number</t>
        </is>
      </c>
      <c r="D15" s="3" t="n"/>
    </row>
    <row r="16">
      <c r="A16" s="5" t="inlineStr">
        <is>
          <t>Connected Garage monthly pilot cost</t>
        </is>
      </c>
      <c r="B16" s="6" t="n">
        <v>1000</v>
      </c>
      <c r="C16" s="5" t="inlineStr">
        <is>
          <t>per month</t>
        </is>
      </c>
      <c r="D16" s="3" t="inlineStr">
        <is>
          <t>Tesla-first Tessie pilot, secure telemetry storage/processing, and support.</t>
        </is>
      </c>
    </row>
    <row r="17">
      <c r="A17" s="5" t="inlineStr">
        <is>
          <t>Connected Garage pilot start month</t>
        </is>
      </c>
      <c r="B17" s="7" t="n">
        <v>7</v>
      </c>
      <c r="C17" s="5" t="inlineStr">
        <is>
          <t>month number</t>
        </is>
      </c>
      <c r="D17" s="3" t="inlineStr">
        <is>
          <t>Set to 13 to defer beyond the first year.</t>
        </is>
      </c>
    </row>
    <row r="18">
      <c r="A18" s="5" t="inlineStr">
        <is>
          <t>Working-capital reserve</t>
        </is>
      </c>
      <c r="B18" s="6" t="n">
        <v>25000</v>
      </c>
      <c r="C18" s="5" t="inlineStr">
        <is>
          <t>cash balance</t>
        </is>
      </c>
      <c r="D18" s="3" t="inlineStr">
        <is>
          <t>Minimum desired cash balance, not an operating expense.</t>
        </is>
      </c>
    </row>
    <row r="19">
      <c r="A19" s="5" t="inlineStr">
        <is>
          <t>Full repair-partner launch fee</t>
        </is>
      </c>
      <c r="B19" s="6" t="n">
        <v>4000</v>
      </c>
      <c r="C19" s="5" t="inlineStr">
        <is>
          <t>per partner</t>
        </is>
      </c>
      <c r="D19" s="3" t="inlineStr">
        <is>
          <t>Core EV Repair launch program.</t>
        </is>
      </c>
    </row>
    <row r="20">
      <c r="A20" s="5" t="inlineStr">
        <is>
          <t>Specialty / infrastructure launch fee</t>
        </is>
      </c>
      <c r="B20" s="6" t="n">
        <v>1500</v>
      </c>
      <c r="C20" s="5" t="inlineStr">
        <is>
          <t>per partner</t>
        </is>
      </c>
      <c r="D20" s="3" t="inlineStr">
        <is>
          <t>Streamlined specialty or infrastructure launch.</t>
        </is>
      </c>
    </row>
    <row r="21">
      <c r="A21" s="5" t="inlineStr">
        <is>
          <t>Certified Partner monthly membership</t>
        </is>
      </c>
      <c r="B21" s="6" t="n">
        <v>499</v>
      </c>
      <c r="C21" s="5" t="inlineStr">
        <is>
          <t>per partner/month</t>
        </is>
      </c>
      <c r="D21" s="3" t="n"/>
    </row>
    <row r="22">
      <c r="A22" s="5" t="inlineStr">
        <is>
          <t>Specialty / infrastructure monthly membership</t>
        </is>
      </c>
      <c r="B22" s="6" t="n">
        <v>199</v>
      </c>
      <c r="C22" s="5" t="inlineStr">
        <is>
          <t>per partner/month</t>
        </is>
      </c>
      <c r="D22" s="3" t="n"/>
    </row>
    <row r="23">
      <c r="A23" s="5" t="inlineStr">
        <is>
          <t>Annual member dues</t>
        </is>
      </c>
      <c r="B23" s="6" t="n">
        <v>99</v>
      </c>
      <c r="C23" s="5" t="inlineStr">
        <is>
          <t>per new member</t>
        </is>
      </c>
      <c r="D23" s="3" t="inlineStr">
        <is>
          <t>Collected upfront in this model.</t>
        </is>
      </c>
    </row>
    <row r="24">
      <c r="A24" s="5" t="inlineStr">
        <is>
          <t>Certified Partner completed-booking fee</t>
        </is>
      </c>
      <c r="B24" s="6" t="n">
        <v>40</v>
      </c>
      <c r="C24" s="5" t="inlineStr">
        <is>
          <t>per completed booking</t>
        </is>
      </c>
      <c r="D24" s="3" t="inlineStr">
        <is>
          <t>Subject to final legal and attribution review.</t>
        </is>
      </c>
    </row>
    <row r="25">
      <c r="A25" s="5" t="inlineStr">
        <is>
          <t>Vendor / campaign contribution</t>
        </is>
      </c>
      <c r="B25" s="6" t="n">
        <v>3000</v>
      </c>
      <c r="C25" s="5" t="inlineStr">
        <is>
          <t>per campaign</t>
        </is>
      </c>
      <c r="D25" s="3" t="inlineStr">
        <is>
          <t>Vendor-funded or local partner campaign.</t>
        </is>
      </c>
    </row>
    <row r="26">
      <c r="A26" s="5" t="inlineStr">
        <is>
          <t>Starting founder capital</t>
        </is>
      </c>
      <c r="B26" s="6" t="n">
        <v>0</v>
      </c>
      <c r="C26" s="5" t="inlineStr">
        <is>
          <t>cash</t>
        </is>
      </c>
      <c r="D26" s="3" t="inlineStr">
        <is>
          <t>Cash already available before Month 1. Keep at zero when modeling a fully backloaded draw.</t>
        </is>
      </c>
    </row>
    <row r="27">
      <c r="A27" s="5" t="inlineStr">
        <is>
          <t>Managed-service contribution margin</t>
        </is>
      </c>
      <c r="B27" s="6" t="n">
        <v>0</v>
      </c>
      <c r="C27" s="5" t="inlineStr">
        <is>
          <t>per month</t>
        </is>
      </c>
      <c r="D27" s="3" t="inlineStr">
        <is>
          <t>Enter only after a bounded service is proven.</t>
        </is>
      </c>
    </row>
    <row r="28">
      <c r="A28" s="5" t="inlineStr">
        <is>
          <t>Expert-work contribution margin</t>
        </is>
      </c>
      <c r="B28" s="6" t="n">
        <v>0</v>
      </c>
      <c r="C28" s="5" t="inlineStr">
        <is>
          <t>per month</t>
        </is>
      </c>
      <c r="D28" s="3" t="inlineStr">
        <is>
          <t>Enter only after pricing, payout, tax, and dispute operations are live.</t>
        </is>
      </c>
    </row>
    <row r="31">
      <c r="A31" t="inlineStr">
        <is>
          <t>Booking measurement window</t>
        </is>
      </c>
      <c r="B31" s="7" t="n">
        <v>2</v>
      </c>
      <c r="C31" t="inlineStr">
        <is>
          <t>months</t>
        </is>
      </c>
      <c r="D31" t="inlineStr">
        <is>
          <t>Use a trailing two-month window for qualified Certified Partner booking performance.</t>
        </is>
      </c>
    </row>
    <row r="32">
      <c r="A32" t="inlineStr">
        <is>
          <t>Completed bookings per qualified Certified Partner / window</t>
        </is>
      </c>
      <c r="B32" s="7" t="n">
        <v>12</v>
      </c>
      <c r="C32" t="inlineStr">
        <is>
          <t>bookings</t>
        </is>
      </c>
      <c r="D32" t="inlineStr">
        <is>
          <t>Total attributable completed bookings expected from each qualified Certified Partner over the measurement window.</t>
        </is>
      </c>
    </row>
    <row r="33">
      <c r="A33" t="inlineStr">
        <is>
          <t>Certified Partner booking qualification delay</t>
        </is>
      </c>
      <c r="B33" s="7" t="n">
        <v>2</v>
      </c>
      <c r="C33" t="inlineStr">
        <is>
          <t>months</t>
        </is>
      </c>
      <c r="D33" t="inlineStr">
        <is>
          <t>Months from a partner becoming active before it contributes to booking expectations.</t>
        </is>
      </c>
    </row>
    <row r="34">
      <c r="A34" t="inlineStr">
        <is>
          <t>Vendor / local campaign delivery cost</t>
        </is>
      </c>
      <c r="B34" s="6" t="n">
        <v>3500</v>
      </c>
      <c r="C34" t="inlineStr">
        <is>
          <t>per campaign</t>
        </is>
      </c>
      <c r="D34" t="inlineStr">
        <is>
          <t>Total incremental campaign cost: activation staff, permits, media, production, partner materials, and event delivery. Vendor contribution is modeled separately as revenue.</t>
        </is>
      </c>
    </row>
    <row r="35">
      <c r="A35" t="inlineStr">
        <is>
          <t>New member acquisition / onboarding cost</t>
        </is>
      </c>
      <c r="B35" s="6" t="n">
        <v>10</v>
      </c>
      <c r="C35" t="inlineStr">
        <is>
          <t>per new annual member</t>
        </is>
      </c>
      <c r="D35" t="inlineStr">
        <is>
          <t>Paid acquisition, referral credit, onboarding materials, and member-offer cost. Set to zero for an organic-only scenario.</t>
        </is>
      </c>
    </row>
    <row r="36">
      <c r="A36" t="inlineStr">
        <is>
          <t>Specialty / infrastructure booking qualification delay</t>
        </is>
      </c>
      <c r="B36" s="6" t="n">
        <v>2</v>
      </c>
      <c r="C36" t="inlineStr">
        <is>
          <t>months</t>
        </is>
      </c>
      <c r="D36" t="inlineStr">
        <is>
          <t>Months from a partner becoming active before it contributes to specialty booking expectations.</t>
        </is>
      </c>
    </row>
    <row r="37">
      <c r="A37" t="inlineStr">
        <is>
          <t>Completed bookings per qualified specialty / infrastructure partner / window</t>
        </is>
      </c>
      <c r="B37" s="6" t="n">
        <v>4</v>
      </c>
      <c r="C37" t="inlineStr">
        <is>
          <t>bookings</t>
        </is>
      </c>
      <c r="D37" t="inlineStr">
        <is>
          <t>Total attributable completed bookings expected from each qualified specialty/infrastructure partner over the measurement window.</t>
        </is>
      </c>
    </row>
    <row r="38">
      <c r="A38" t="inlineStr">
        <is>
          <t>Specialty / infrastructure completed-booking fee</t>
        </is>
      </c>
      <c r="B38" s="6" t="n">
        <v>25</v>
      </c>
      <c r="C38" t="inlineStr">
        <is>
          <t>per completed booking</t>
        </is>
      </c>
      <c r="D38" t="inlineStr">
        <is>
          <t>Fixed fee for attributable specialty/infrastructure work; subject to final legal and attribution review.</t>
        </is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3A7D44"/>
    <outlinePr summaryBelow="1" summaryRight="1"/>
    <pageSetUpPr/>
  </sheetPr>
  <dimension ref="A1:M4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40.7109375" customWidth="1" min="1" max="1"/>
    <col width="14.7109375" customWidth="1" min="2" max="13"/>
  </cols>
  <sheetData>
    <row r="1">
      <c r="A1" s="1" t="inlineStr">
        <is>
          <t>12-Month Founder-Led Cash Burn-Down</t>
        </is>
      </c>
    </row>
    <row r="2">
      <c r="A2" s="8" t="inlineStr">
        <is>
          <t>Yellow cells are timing or funding inputs. All other monthly values are formulas.</t>
        </is>
      </c>
    </row>
    <row r="4">
      <c r="A4" s="4" t="inlineStr">
        <is>
          <t>Driver / Cash Flow</t>
        </is>
      </c>
      <c r="B4" s="4" t="inlineStr">
        <is>
          <t>Month 1</t>
        </is>
      </c>
      <c r="C4" s="4" t="inlineStr">
        <is>
          <t>Month 2</t>
        </is>
      </c>
      <c r="D4" s="4" t="inlineStr">
        <is>
          <t>Month 3</t>
        </is>
      </c>
      <c r="E4" s="4" t="inlineStr">
        <is>
          <t>Month 4</t>
        </is>
      </c>
      <c r="F4" s="4" t="inlineStr">
        <is>
          <t>Month 5</t>
        </is>
      </c>
      <c r="G4" s="4" t="inlineStr">
        <is>
          <t>Month 6</t>
        </is>
      </c>
      <c r="H4" s="4" t="inlineStr">
        <is>
          <t>Month 7</t>
        </is>
      </c>
      <c r="I4" s="4" t="inlineStr">
        <is>
          <t>Month 8</t>
        </is>
      </c>
      <c r="J4" s="4" t="inlineStr">
        <is>
          <t>Month 9</t>
        </is>
      </c>
      <c r="K4" s="4" t="inlineStr">
        <is>
          <t>Month 10</t>
        </is>
      </c>
      <c r="L4" s="4" t="inlineStr">
        <is>
          <t>Month 11</t>
        </is>
      </c>
      <c r="M4" s="4" t="inlineStr">
        <is>
          <t>Month 12</t>
        </is>
      </c>
    </row>
    <row r="5">
      <c r="A5" s="5" t="inlineStr">
        <is>
          <t>Full repair-partner launches</t>
        </is>
      </c>
      <c r="B5" s="7" t="n">
        <v>0</v>
      </c>
      <c r="C5" s="7" t="n">
        <v>3</v>
      </c>
      <c r="D5" s="7" t="n">
        <v>2</v>
      </c>
      <c r="E5" s="7" t="n">
        <v>2</v>
      </c>
      <c r="F5" s="7" t="n">
        <v>1</v>
      </c>
      <c r="G5" s="7" t="n">
        <v>1</v>
      </c>
      <c r="H5" s="7" t="n">
        <v>1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Specialty / infrastructure launches</t>
        </is>
      </c>
      <c r="B6" s="7" t="n">
        <v>0</v>
      </c>
      <c r="C6" s="7" t="n">
        <v>0</v>
      </c>
      <c r="D6" s="7" t="n">
        <v>1</v>
      </c>
      <c r="E6" s="7" t="n">
        <v>1</v>
      </c>
      <c r="F6" s="7" t="n">
        <v>1</v>
      </c>
      <c r="G6" s="7" t="n">
        <v>1</v>
      </c>
      <c r="H6" s="7" t="n">
        <v>1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Active Certified Partners</t>
        </is>
      </c>
      <c r="B7" s="7" t="n">
        <v>0</v>
      </c>
      <c r="C7" s="7" t="n">
        <v>0</v>
      </c>
      <c r="D7" s="7" t="n">
        <v>0</v>
      </c>
      <c r="E7" s="7" t="n">
        <v>2</v>
      </c>
      <c r="F7" s="7" t="n">
        <v>4</v>
      </c>
      <c r="G7" s="7" t="n">
        <v>6</v>
      </c>
      <c r="H7" s="7" t="n">
        <v>8</v>
      </c>
      <c r="I7" s="7" t="n">
        <v>10</v>
      </c>
      <c r="J7" s="7" t="n">
        <v>10</v>
      </c>
      <c r="K7" s="7" t="n">
        <v>10</v>
      </c>
      <c r="L7" s="7" t="n">
        <v>10</v>
      </c>
      <c r="M7" s="7" t="n">
        <v>10</v>
      </c>
    </row>
    <row r="8">
      <c r="A8" s="5" t="inlineStr">
        <is>
          <t>Active Specialty / Infrastructure Partners</t>
        </is>
      </c>
      <c r="B8" s="7" t="n">
        <v>0</v>
      </c>
      <c r="C8" s="7" t="n">
        <v>0</v>
      </c>
      <c r="D8" s="7" t="n">
        <v>0</v>
      </c>
      <c r="E8" s="7" t="n">
        <v>2</v>
      </c>
      <c r="F8" s="7" t="n">
        <v>3</v>
      </c>
      <c r="G8" s="7" t="n">
        <v>4</v>
      </c>
      <c r="H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</row>
    <row r="9">
      <c r="A9" s="5" t="inlineStr">
        <is>
          <t>New annual members</t>
        </is>
      </c>
      <c r="B9" s="7" t="n">
        <v>0</v>
      </c>
      <c r="C9" s="7" t="n">
        <v>0</v>
      </c>
      <c r="D9" s="7" t="n">
        <v>25</v>
      </c>
      <c r="E9" s="7" t="n">
        <v>25</v>
      </c>
      <c r="F9" s="7" t="n">
        <v>30</v>
      </c>
      <c r="G9" s="7" t="n">
        <v>40</v>
      </c>
      <c r="H9" s="7" t="n">
        <v>50</v>
      </c>
      <c r="I9" s="7" t="n">
        <v>50</v>
      </c>
      <c r="J9" s="7" t="n">
        <v>50</v>
      </c>
      <c r="K9" s="7" t="n">
        <v>50</v>
      </c>
      <c r="L9" s="7" t="n">
        <v>40</v>
      </c>
      <c r="M9" s="7" t="n">
        <v>40</v>
      </c>
    </row>
    <row r="10">
      <c r="A10" s="5" t="inlineStr">
        <is>
          <t>Completed Certified Partner bookings (formula)</t>
        </is>
      </c>
      <c r="B10" s="10">
        <f>IF(COLUMN()-1&lt;=Assumptions!$B$33,0,INDEX($B$7:$M$7,1,COLUMN()-1-Assumptions!$B$33)*Assumptions!$B$32/Assumptions!$B$31)</f>
        <v/>
      </c>
      <c r="C10" s="10">
        <f>IF(COLUMN()-1&lt;=Assumptions!$B$33,0,INDEX($B$7:$M$7,1,COLUMN()-1-Assumptions!$B$33)*Assumptions!$B$32/Assumptions!$B$31)</f>
        <v/>
      </c>
      <c r="D10" s="10">
        <f>IF(COLUMN()-1&lt;=Assumptions!$B$33,0,INDEX($B$7:$M$7,1,COLUMN()-1-Assumptions!$B$33)*Assumptions!$B$32/Assumptions!$B$31)</f>
        <v/>
      </c>
      <c r="E10" s="10">
        <f>IF(COLUMN()-1&lt;=Assumptions!$B$33,0,INDEX($B$7:$M$7,1,COLUMN()-1-Assumptions!$B$33)*Assumptions!$B$32/Assumptions!$B$31)</f>
        <v/>
      </c>
      <c r="F10" s="10">
        <f>IF(COLUMN()-1&lt;=Assumptions!$B$33,0,INDEX($B$7:$M$7,1,COLUMN()-1-Assumptions!$B$33)*Assumptions!$B$32/Assumptions!$B$31)</f>
        <v/>
      </c>
      <c r="G10" s="10">
        <f>IF(COLUMN()-1&lt;=Assumptions!$B$33,0,INDEX($B$7:$M$7,1,COLUMN()-1-Assumptions!$B$33)*Assumptions!$B$32/Assumptions!$B$31)</f>
        <v/>
      </c>
      <c r="H10" s="10">
        <f>IF(COLUMN()-1&lt;=Assumptions!$B$33,0,INDEX($B$7:$M$7,1,COLUMN()-1-Assumptions!$B$33)*Assumptions!$B$32/Assumptions!$B$31)</f>
        <v/>
      </c>
      <c r="I10" s="10">
        <f>IF(COLUMN()-1&lt;=Assumptions!$B$33,0,INDEX($B$7:$M$7,1,COLUMN()-1-Assumptions!$B$33)*Assumptions!$B$32/Assumptions!$B$31)</f>
        <v/>
      </c>
      <c r="J10" s="10">
        <f>IF(COLUMN()-1&lt;=Assumptions!$B$33,0,INDEX($B$7:$M$7,1,COLUMN()-1-Assumptions!$B$33)*Assumptions!$B$32/Assumptions!$B$31)</f>
        <v/>
      </c>
      <c r="K10" s="10">
        <f>IF(COLUMN()-1&lt;=Assumptions!$B$33,0,INDEX($B$7:$M$7,1,COLUMN()-1-Assumptions!$B$33)*Assumptions!$B$32/Assumptions!$B$31)</f>
        <v/>
      </c>
      <c r="L10" s="10">
        <f>IF(COLUMN()-1&lt;=Assumptions!$B$33,0,INDEX($B$7:$M$7,1,COLUMN()-1-Assumptions!$B$33)*Assumptions!$B$32/Assumptions!$B$31)</f>
        <v/>
      </c>
      <c r="M10" s="10">
        <f>IF(COLUMN()-1&lt;=Assumptions!$B$33,0,INDEX($B$7:$M$7,1,COLUMN()-1-Assumptions!$B$33)*Assumptions!$B$32/Assumptions!$B$31)</f>
        <v/>
      </c>
    </row>
    <row r="11">
      <c r="A11" s="5" t="inlineStr">
        <is>
          <t>Vendor / local campaigns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1</v>
      </c>
      <c r="H11" s="7" t="n">
        <v>0</v>
      </c>
      <c r="I11" s="7" t="n">
        <v>0</v>
      </c>
      <c r="J11" s="7" t="n">
        <v>0</v>
      </c>
      <c r="K11" s="7" t="n">
        <v>1</v>
      </c>
      <c r="L11" s="7" t="n">
        <v>0</v>
      </c>
      <c r="M11" s="7" t="n">
        <v>0</v>
      </c>
    </row>
    <row r="12">
      <c r="A12" s="5" t="inlineStr">
        <is>
          <t>Legal / compliance payment schedule</t>
        </is>
      </c>
      <c r="B12" s="6" t="n">
        <v>0</v>
      </c>
      <c r="C12" s="6" t="n">
        <v>0</v>
      </c>
      <c r="D12" s="6" t="n">
        <v>4000</v>
      </c>
      <c r="E12" s="6" t="n">
        <v>6000</v>
      </c>
      <c r="F12" s="6" t="n">
        <v>8000</v>
      </c>
      <c r="G12" s="6" t="n">
        <v>8000</v>
      </c>
      <c r="H12" s="6" t="n">
        <v>2000</v>
      </c>
      <c r="I12" s="6" t="n">
        <v>0</v>
      </c>
      <c r="J12" s="6" t="n">
        <v>2000</v>
      </c>
      <c r="K12" s="6" t="n">
        <v>0</v>
      </c>
      <c r="L12" s="6" t="n">
        <v>0</v>
      </c>
      <c r="M12" s="6" t="n">
        <v>0</v>
      </c>
    </row>
    <row r="13">
      <c r="A13" s="5" t="inlineStr">
        <is>
          <t>Equipment / initial production payment schedule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5000</v>
      </c>
      <c r="G13" s="6" t="n">
        <v>5000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</row>
    <row r="14">
      <c r="A14" s="5" t="inlineStr">
        <is>
          <t>External funding draw: debt / investment / founder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</row>
    <row r="15">
      <c r="A15" s="5" t="inlineStr">
        <is>
          <t>Completed specialty / infrastructure bookings (formula)</t>
        </is>
      </c>
      <c r="B15" s="10">
        <f>IF(COLUMN()-1&lt;=Assumptions!$B$36,0,INDEX($B$8:$M$8,1,COLUMN()-1-Assumptions!$B$36)*Assumptions!$B$37/Assumptions!$B$31)</f>
        <v/>
      </c>
      <c r="C15" s="10">
        <f>IF(COLUMN()-1&lt;=Assumptions!$B$36,0,INDEX($B$8:$M$8,1,COLUMN()-1-Assumptions!$B$36)*Assumptions!$B$37/Assumptions!$B$31)</f>
        <v/>
      </c>
      <c r="D15" s="10">
        <f>IF(COLUMN()-1&lt;=Assumptions!$B$36,0,INDEX($B$8:$M$8,1,COLUMN()-1-Assumptions!$B$36)*Assumptions!$B$37/Assumptions!$B$31)</f>
        <v/>
      </c>
      <c r="E15" s="10">
        <f>IF(COLUMN()-1&lt;=Assumptions!$B$36,0,INDEX($B$8:$M$8,1,COLUMN()-1-Assumptions!$B$36)*Assumptions!$B$37/Assumptions!$B$31)</f>
        <v/>
      </c>
      <c r="F15" s="10">
        <f>IF(COLUMN()-1&lt;=Assumptions!$B$36,0,INDEX($B$8:$M$8,1,COLUMN()-1-Assumptions!$B$36)*Assumptions!$B$37/Assumptions!$B$31)</f>
        <v/>
      </c>
      <c r="G15" s="10">
        <f>IF(COLUMN()-1&lt;=Assumptions!$B$36,0,INDEX($B$8:$M$8,1,COLUMN()-1-Assumptions!$B$36)*Assumptions!$B$37/Assumptions!$B$31)</f>
        <v/>
      </c>
      <c r="H15" s="10">
        <f>IF(COLUMN()-1&lt;=Assumptions!$B$36,0,INDEX($B$8:$M$8,1,COLUMN()-1-Assumptions!$B$36)*Assumptions!$B$37/Assumptions!$B$31)</f>
        <v/>
      </c>
      <c r="I15" s="10">
        <f>IF(COLUMN()-1&lt;=Assumptions!$B$36,0,INDEX($B$8:$M$8,1,COLUMN()-1-Assumptions!$B$36)*Assumptions!$B$37/Assumptions!$B$31)</f>
        <v/>
      </c>
      <c r="J15" s="10">
        <f>IF(COLUMN()-1&lt;=Assumptions!$B$36,0,INDEX($B$8:$M$8,1,COLUMN()-1-Assumptions!$B$36)*Assumptions!$B$37/Assumptions!$B$31)</f>
        <v/>
      </c>
      <c r="K15" s="10">
        <f>IF(COLUMN()-1&lt;=Assumptions!$B$36,0,INDEX($B$8:$M$8,1,COLUMN()-1-Assumptions!$B$36)*Assumptions!$B$37/Assumptions!$B$31)</f>
        <v/>
      </c>
      <c r="L15" s="10">
        <f>IF(COLUMN()-1&lt;=Assumptions!$B$36,0,INDEX($B$8:$M$8,1,COLUMN()-1-Assumptions!$B$36)*Assumptions!$B$37/Assumptions!$B$31)</f>
        <v/>
      </c>
      <c r="M15" s="10">
        <f>IF(COLUMN()-1&lt;=Assumptions!$B$36,0,INDEX($B$8:$M$8,1,COLUMN()-1-Assumptions!$B$36)*Assumptions!$B$37/Assumptions!$B$31)</f>
        <v/>
      </c>
    </row>
    <row r="16">
      <c r="A16" s="2" t="inlineStr">
        <is>
          <t>Revenue</t>
        </is>
      </c>
    </row>
    <row r="17">
      <c r="A17" s="5" t="inlineStr">
        <is>
          <t>Full partner-launch fees</t>
        </is>
      </c>
      <c r="B17" s="9">
        <f>B5*Assumptions!$B$19</f>
        <v/>
      </c>
      <c r="C17" s="9">
        <f>C5*Assumptions!$B$19</f>
        <v/>
      </c>
      <c r="D17" s="9">
        <f>D5*Assumptions!$B$19</f>
        <v/>
      </c>
      <c r="E17" s="9">
        <f>E5*Assumptions!$B$19</f>
        <v/>
      </c>
      <c r="F17" s="9">
        <f>F5*Assumptions!$B$19</f>
        <v/>
      </c>
      <c r="G17" s="9">
        <f>G5*Assumptions!$B$19</f>
        <v/>
      </c>
      <c r="H17" s="9">
        <f>H5*Assumptions!$B$19</f>
        <v/>
      </c>
      <c r="I17" s="9">
        <f>I5*Assumptions!$B$19</f>
        <v/>
      </c>
      <c r="J17" s="9">
        <f>J5*Assumptions!$B$19</f>
        <v/>
      </c>
      <c r="K17" s="9">
        <f>K5*Assumptions!$B$19</f>
        <v/>
      </c>
      <c r="L17" s="9">
        <f>L5*Assumptions!$B$19</f>
        <v/>
      </c>
      <c r="M17" s="9">
        <f>M5*Assumptions!$B$19</f>
        <v/>
      </c>
    </row>
    <row r="18">
      <c r="A18" s="5" t="inlineStr">
        <is>
          <t>Specialty/infrastructure launch fees</t>
        </is>
      </c>
      <c r="B18" s="9">
        <f>B6*Assumptions!$B$20</f>
        <v/>
      </c>
      <c r="C18" s="9">
        <f>C6*Assumptions!$B$20</f>
        <v/>
      </c>
      <c r="D18" s="9">
        <f>D6*Assumptions!$B$20</f>
        <v/>
      </c>
      <c r="E18" s="9">
        <f>E6*Assumptions!$B$20</f>
        <v/>
      </c>
      <c r="F18" s="9">
        <f>F6*Assumptions!$B$20</f>
        <v/>
      </c>
      <c r="G18" s="9">
        <f>G6*Assumptions!$B$20</f>
        <v/>
      </c>
      <c r="H18" s="9">
        <f>H6*Assumptions!$B$20</f>
        <v/>
      </c>
      <c r="I18" s="9">
        <f>I6*Assumptions!$B$20</f>
        <v/>
      </c>
      <c r="J18" s="9">
        <f>J6*Assumptions!$B$20</f>
        <v/>
      </c>
      <c r="K18" s="9">
        <f>K6*Assumptions!$B$20</f>
        <v/>
      </c>
      <c r="L18" s="9">
        <f>L6*Assumptions!$B$20</f>
        <v/>
      </c>
      <c r="M18" s="9">
        <f>M6*Assumptions!$B$20</f>
        <v/>
      </c>
    </row>
    <row r="19">
      <c r="A19" s="5" t="inlineStr">
        <is>
          <t>Certified Partner memberships</t>
        </is>
      </c>
      <c r="B19" s="9">
        <f>B7*Assumptions!$B$21</f>
        <v/>
      </c>
      <c r="C19" s="9">
        <f>C7*Assumptions!$B$21</f>
        <v/>
      </c>
      <c r="D19" s="9">
        <f>D7*Assumptions!$B$21</f>
        <v/>
      </c>
      <c r="E19" s="9">
        <f>E7*Assumptions!$B$21</f>
        <v/>
      </c>
      <c r="F19" s="9">
        <f>F7*Assumptions!$B$21</f>
        <v/>
      </c>
      <c r="G19" s="9">
        <f>G7*Assumptions!$B$21</f>
        <v/>
      </c>
      <c r="H19" s="9">
        <f>H7*Assumptions!$B$21</f>
        <v/>
      </c>
      <c r="I19" s="9">
        <f>I7*Assumptions!$B$21</f>
        <v/>
      </c>
      <c r="J19" s="9">
        <f>J7*Assumptions!$B$21</f>
        <v/>
      </c>
      <c r="K19" s="9">
        <f>K7*Assumptions!$B$21</f>
        <v/>
      </c>
      <c r="L19" s="9">
        <f>L7*Assumptions!$B$21</f>
        <v/>
      </c>
      <c r="M19" s="9">
        <f>M7*Assumptions!$B$21</f>
        <v/>
      </c>
    </row>
    <row r="20">
      <c r="A20" s="5" t="inlineStr">
        <is>
          <t>Specialty/infrastructure memberships</t>
        </is>
      </c>
      <c r="B20" s="9">
        <f>B8*Assumptions!$B$22</f>
        <v/>
      </c>
      <c r="C20" s="9">
        <f>C8*Assumptions!$B$22</f>
        <v/>
      </c>
      <c r="D20" s="9">
        <f>D8*Assumptions!$B$22</f>
        <v/>
      </c>
      <c r="E20" s="9">
        <f>E8*Assumptions!$B$22</f>
        <v/>
      </c>
      <c r="F20" s="9">
        <f>F8*Assumptions!$B$22</f>
        <v/>
      </c>
      <c r="G20" s="9">
        <f>G8*Assumptions!$B$22</f>
        <v/>
      </c>
      <c r="H20" s="9">
        <f>H8*Assumptions!$B$22</f>
        <v/>
      </c>
      <c r="I20" s="9">
        <f>I8*Assumptions!$B$22</f>
        <v/>
      </c>
      <c r="J20" s="9">
        <f>J8*Assumptions!$B$22</f>
        <v/>
      </c>
      <c r="K20" s="9">
        <f>K8*Assumptions!$B$22</f>
        <v/>
      </c>
      <c r="L20" s="9">
        <f>L8*Assumptions!$B$22</f>
        <v/>
      </c>
      <c r="M20" s="9">
        <f>M8*Assumptions!$B$22</f>
        <v/>
      </c>
    </row>
    <row r="21">
      <c r="A21" s="5" t="inlineStr">
        <is>
          <t>Annual consumer memberships</t>
        </is>
      </c>
      <c r="B21" s="9">
        <f>B9*Assumptions!$B$23</f>
        <v/>
      </c>
      <c r="C21" s="9">
        <f>C9*Assumptions!$B$23</f>
        <v/>
      </c>
      <c r="D21" s="9">
        <f>D9*Assumptions!$B$23</f>
        <v/>
      </c>
      <c r="E21" s="9">
        <f>E9*Assumptions!$B$23</f>
        <v/>
      </c>
      <c r="F21" s="9">
        <f>F9*Assumptions!$B$23</f>
        <v/>
      </c>
      <c r="G21" s="9">
        <f>G9*Assumptions!$B$23</f>
        <v/>
      </c>
      <c r="H21" s="9">
        <f>H9*Assumptions!$B$23</f>
        <v/>
      </c>
      <c r="I21" s="9">
        <f>I9*Assumptions!$B$23</f>
        <v/>
      </c>
      <c r="J21" s="9">
        <f>J9*Assumptions!$B$23</f>
        <v/>
      </c>
      <c r="K21" s="9">
        <f>K9*Assumptions!$B$23</f>
        <v/>
      </c>
      <c r="L21" s="9">
        <f>L9*Assumptions!$B$23</f>
        <v/>
      </c>
      <c r="M21" s="9">
        <f>M9*Assumptions!$B$23</f>
        <v/>
      </c>
    </row>
    <row r="22">
      <c r="A22" s="5" t="inlineStr">
        <is>
          <t>Completed-booking fees</t>
        </is>
      </c>
      <c r="B22" s="9">
        <f>B10*Assumptions!$B$24+B15*Assumptions!$B$38</f>
        <v/>
      </c>
      <c r="C22" s="9">
        <f>C10*Assumptions!$B$24+C15*Assumptions!$B$38</f>
        <v/>
      </c>
      <c r="D22" s="9">
        <f>D10*Assumptions!$B$24+D15*Assumptions!$B$38</f>
        <v/>
      </c>
      <c r="E22" s="9">
        <f>E10*Assumptions!$B$24+E15*Assumptions!$B$38</f>
        <v/>
      </c>
      <c r="F22" s="9">
        <f>F10*Assumptions!$B$24+F15*Assumptions!$B$38</f>
        <v/>
      </c>
      <c r="G22" s="9">
        <f>G10*Assumptions!$B$24+G15*Assumptions!$B$38</f>
        <v/>
      </c>
      <c r="H22" s="9">
        <f>H10*Assumptions!$B$24+H15*Assumptions!$B$38</f>
        <v/>
      </c>
      <c r="I22" s="9">
        <f>I10*Assumptions!$B$24+I15*Assumptions!$B$38</f>
        <v/>
      </c>
      <c r="J22" s="9">
        <f>J10*Assumptions!$B$24+J15*Assumptions!$B$38</f>
        <v/>
      </c>
      <c r="K22" s="9">
        <f>K10*Assumptions!$B$24+K15*Assumptions!$B$38</f>
        <v/>
      </c>
      <c r="L22" s="9">
        <f>L10*Assumptions!$B$24+L15*Assumptions!$B$38</f>
        <v/>
      </c>
      <c r="M22" s="9">
        <f>M10*Assumptions!$B$24+M15*Assumptions!$B$38</f>
        <v/>
      </c>
    </row>
    <row r="23">
      <c r="A23" s="5" t="inlineStr">
        <is>
          <t>Vendor / campaign contributions</t>
        </is>
      </c>
      <c r="B23" s="9">
        <f>B11*Assumptions!$B$25</f>
        <v/>
      </c>
      <c r="C23" s="9">
        <f>C11*Assumptions!$B$25</f>
        <v/>
      </c>
      <c r="D23" s="9">
        <f>D11*Assumptions!$B$25</f>
        <v/>
      </c>
      <c r="E23" s="9">
        <f>E11*Assumptions!$B$25</f>
        <v/>
      </c>
      <c r="F23" s="9">
        <f>F11*Assumptions!$B$25</f>
        <v/>
      </c>
      <c r="G23" s="9">
        <f>G11*Assumptions!$B$25</f>
        <v/>
      </c>
      <c r="H23" s="9">
        <f>H11*Assumptions!$B$25</f>
        <v/>
      </c>
      <c r="I23" s="9">
        <f>I11*Assumptions!$B$25</f>
        <v/>
      </c>
      <c r="J23" s="9">
        <f>J11*Assumptions!$B$25</f>
        <v/>
      </c>
      <c r="K23" s="9">
        <f>K11*Assumptions!$B$25</f>
        <v/>
      </c>
      <c r="L23" s="9">
        <f>L11*Assumptions!$B$25</f>
        <v/>
      </c>
      <c r="M23" s="9">
        <f>M11*Assumptions!$B$25</f>
        <v/>
      </c>
    </row>
    <row r="24">
      <c r="A24" s="5" t="inlineStr">
        <is>
          <t>Managed-service contribution</t>
        </is>
      </c>
      <c r="B24" s="9">
        <f>Assumptions!$B$28</f>
        <v/>
      </c>
      <c r="C24" s="9">
        <f>Assumptions!$B$28</f>
        <v/>
      </c>
      <c r="D24" s="9">
        <f>Assumptions!$B$28</f>
        <v/>
      </c>
      <c r="E24" s="9">
        <f>Assumptions!$B$28</f>
        <v/>
      </c>
      <c r="F24" s="9">
        <f>Assumptions!$B$28</f>
        <v/>
      </c>
      <c r="G24" s="9">
        <f>Assumptions!$B$28</f>
        <v/>
      </c>
      <c r="H24" s="9">
        <f>Assumptions!$B$28</f>
        <v/>
      </c>
      <c r="I24" s="9">
        <f>Assumptions!$B$28</f>
        <v/>
      </c>
      <c r="J24" s="9">
        <f>Assumptions!$B$28</f>
        <v/>
      </c>
      <c r="K24" s="9">
        <f>Assumptions!$B$28</f>
        <v/>
      </c>
      <c r="L24" s="9">
        <f>Assumptions!$B$28</f>
        <v/>
      </c>
      <c r="M24" s="9">
        <f>Assumptions!$B$28</f>
        <v/>
      </c>
    </row>
    <row r="25">
      <c r="A25" s="5" t="inlineStr">
        <is>
          <t>Expert-work contribution</t>
        </is>
      </c>
      <c r="B25" s="9">
        <f>Assumptions!$B$29</f>
        <v/>
      </c>
      <c r="C25" s="9">
        <f>Assumptions!$B$29</f>
        <v/>
      </c>
      <c r="D25" s="9">
        <f>Assumptions!$B$29</f>
        <v/>
      </c>
      <c r="E25" s="9">
        <f>Assumptions!$B$29</f>
        <v/>
      </c>
      <c r="F25" s="9">
        <f>Assumptions!$B$29</f>
        <v/>
      </c>
      <c r="G25" s="9">
        <f>Assumptions!$B$29</f>
        <v/>
      </c>
      <c r="H25" s="9">
        <f>Assumptions!$B$29</f>
        <v/>
      </c>
      <c r="I25" s="9">
        <f>Assumptions!$B$29</f>
        <v/>
      </c>
      <c r="J25" s="9">
        <f>Assumptions!$B$29</f>
        <v/>
      </c>
      <c r="K25" s="9">
        <f>Assumptions!$B$29</f>
        <v/>
      </c>
      <c r="L25" s="9">
        <f>Assumptions!$B$29</f>
        <v/>
      </c>
      <c r="M25" s="9">
        <f>Assumptions!$B$29</f>
        <v/>
      </c>
    </row>
    <row r="26">
      <c r="A26" s="2" t="inlineStr">
        <is>
          <t>Total revenue</t>
        </is>
      </c>
      <c r="B26" s="9">
        <f>SUM(B17:B25)</f>
        <v/>
      </c>
      <c r="C26" s="9">
        <f>SUM(C17:C25)</f>
        <v/>
      </c>
      <c r="D26" s="9">
        <f>SUM(D17:D25)</f>
        <v/>
      </c>
      <c r="E26" s="9">
        <f>SUM(E17:E25)</f>
        <v/>
      </c>
      <c r="F26" s="9">
        <f>SUM(F17:F25)</f>
        <v/>
      </c>
      <c r="G26" s="9">
        <f>SUM(G17:G25)</f>
        <v/>
      </c>
      <c r="H26" s="9">
        <f>SUM(H17:H25)</f>
        <v/>
      </c>
      <c r="I26" s="9">
        <f>SUM(I17:I25)</f>
        <v/>
      </c>
      <c r="J26" s="9">
        <f>SUM(J17:J25)</f>
        <v/>
      </c>
      <c r="K26" s="9">
        <f>SUM(K17:K25)</f>
        <v/>
      </c>
      <c r="L26" s="9">
        <f>SUM(L17:L25)</f>
        <v/>
      </c>
      <c r="M26" s="9">
        <f>SUM(M17:M25)</f>
        <v/>
      </c>
    </row>
    <row r="28">
      <c r="A28" s="2" t="inlineStr">
        <is>
          <t>Cash operating expenses</t>
        </is>
      </c>
    </row>
    <row r="29">
      <c r="A29" s="5" t="inlineStr">
        <is>
          <t>Founder / operations</t>
        </is>
      </c>
      <c r="B29" s="9">
        <f>IF(COLUMN()-1&gt;=Assumptions!$B$5,Assumptions!$B$4,0)</f>
        <v/>
      </c>
      <c r="C29" s="9">
        <f>IF(COLUMN()-1&gt;=Assumptions!$B$5,Assumptions!$B$4,0)</f>
        <v/>
      </c>
      <c r="D29" s="9">
        <f>IF(COLUMN()-1&gt;=Assumptions!$B$5,Assumptions!$B$4,0)</f>
        <v/>
      </c>
      <c r="E29" s="9">
        <f>IF(COLUMN()-1&gt;=Assumptions!$B$5,Assumptions!$B$4,0)</f>
        <v/>
      </c>
      <c r="F29" s="9">
        <f>IF(COLUMN()-1&gt;=Assumptions!$B$5,Assumptions!$B$4,0)</f>
        <v/>
      </c>
      <c r="G29" s="9">
        <f>IF(COLUMN()-1&gt;=Assumptions!$B$5,Assumptions!$B$4,0)</f>
        <v/>
      </c>
      <c r="H29" s="9">
        <f>IF(COLUMN()-1&gt;=Assumptions!$B$5,Assumptions!$B$4,0)</f>
        <v/>
      </c>
      <c r="I29" s="9">
        <f>IF(COLUMN()-1&gt;=Assumptions!$B$5,Assumptions!$B$4,0)</f>
        <v/>
      </c>
      <c r="J29" s="9">
        <f>IF(COLUMN()-1&gt;=Assumptions!$B$5,Assumptions!$B$4,0)</f>
        <v/>
      </c>
      <c r="K29" s="9">
        <f>IF(COLUMN()-1&gt;=Assumptions!$B$5,Assumptions!$B$4,0)</f>
        <v/>
      </c>
      <c r="L29" s="9">
        <f>IF(COLUMN()-1&gt;=Assumptions!$B$5,Assumptions!$B$4,0)</f>
        <v/>
      </c>
      <c r="M29" s="9">
        <f>IF(COLUMN()-1&gt;=Assumptions!$B$5,Assumptions!$B$4,0)</f>
        <v/>
      </c>
    </row>
    <row r="30">
      <c r="A30" s="5" t="inlineStr">
        <is>
          <t>Engineering / product</t>
        </is>
      </c>
      <c r="B30" s="9">
        <f>IF(COLUMN()-1&gt;=Assumptions!$B$7,Assumptions!$B$6,0)</f>
        <v/>
      </c>
      <c r="C30" s="9">
        <f>IF(COLUMN()-1&gt;=Assumptions!$B$7,Assumptions!$B$6,0)</f>
        <v/>
      </c>
      <c r="D30" s="9">
        <f>IF(COLUMN()-1&gt;=Assumptions!$B$7,Assumptions!$B$6,0)</f>
        <v/>
      </c>
      <c r="E30" s="9">
        <f>IF(COLUMN()-1&gt;=Assumptions!$B$7,Assumptions!$B$6,0)</f>
        <v/>
      </c>
      <c r="F30" s="9">
        <f>IF(COLUMN()-1&gt;=Assumptions!$B$7,Assumptions!$B$6,0)</f>
        <v/>
      </c>
      <c r="G30" s="9">
        <f>IF(COLUMN()-1&gt;=Assumptions!$B$7,Assumptions!$B$6,0)</f>
        <v/>
      </c>
      <c r="H30" s="9">
        <f>IF(COLUMN()-1&gt;=Assumptions!$B$7,Assumptions!$B$6,0)</f>
        <v/>
      </c>
      <c r="I30" s="9">
        <f>IF(COLUMN()-1&gt;=Assumptions!$B$7,Assumptions!$B$6,0)</f>
        <v/>
      </c>
      <c r="J30" s="9">
        <f>IF(COLUMN()-1&gt;=Assumptions!$B$7,Assumptions!$B$6,0)</f>
        <v/>
      </c>
      <c r="K30" s="9">
        <f>IF(COLUMN()-1&gt;=Assumptions!$B$7,Assumptions!$B$6,0)</f>
        <v/>
      </c>
      <c r="L30" s="9">
        <f>IF(COLUMN()-1&gt;=Assumptions!$B$7,Assumptions!$B$6,0)</f>
        <v/>
      </c>
      <c r="M30" s="9">
        <f>IF(COLUMN()-1&gt;=Assumptions!$B$7,Assumptions!$B$6,0)</f>
        <v/>
      </c>
    </row>
    <row r="31">
      <c r="A31" s="5" t="inlineStr">
        <is>
          <t>Content / social</t>
        </is>
      </c>
      <c r="B31" s="9">
        <f>IF(COLUMN()-1&gt;=Assumptions!$B$9,Assumptions!$B$8,0)</f>
        <v/>
      </c>
      <c r="C31" s="9">
        <f>IF(COLUMN()-1&gt;=Assumptions!$B$9,Assumptions!$B$8,0)</f>
        <v/>
      </c>
      <c r="D31" s="9">
        <f>IF(COLUMN()-1&gt;=Assumptions!$B$9,Assumptions!$B$8,0)</f>
        <v/>
      </c>
      <c r="E31" s="9">
        <f>IF(COLUMN()-1&gt;=Assumptions!$B$9,Assumptions!$B$8,0)</f>
        <v/>
      </c>
      <c r="F31" s="9">
        <f>IF(COLUMN()-1&gt;=Assumptions!$B$9,Assumptions!$B$8,0)</f>
        <v/>
      </c>
      <c r="G31" s="9">
        <f>IF(COLUMN()-1&gt;=Assumptions!$B$9,Assumptions!$B$8,0)</f>
        <v/>
      </c>
      <c r="H31" s="9">
        <f>IF(COLUMN()-1&gt;=Assumptions!$B$9,Assumptions!$B$8,0)</f>
        <v/>
      </c>
      <c r="I31" s="9">
        <f>IF(COLUMN()-1&gt;=Assumptions!$B$9,Assumptions!$B$8,0)</f>
        <v/>
      </c>
      <c r="J31" s="9">
        <f>IF(COLUMN()-1&gt;=Assumptions!$B$9,Assumptions!$B$8,0)</f>
        <v/>
      </c>
      <c r="K31" s="9">
        <f>IF(COLUMN()-1&gt;=Assumptions!$B$9,Assumptions!$B$8,0)</f>
        <v/>
      </c>
      <c r="L31" s="9">
        <f>IF(COLUMN()-1&gt;=Assumptions!$B$9,Assumptions!$B$8,0)</f>
        <v/>
      </c>
      <c r="M31" s="9">
        <f>IF(COLUMN()-1&gt;=Assumptions!$B$9,Assumptions!$B$8,0)</f>
        <v/>
      </c>
    </row>
    <row r="32">
      <c r="A32" s="5" t="inlineStr">
        <is>
          <t>Software / payments / data</t>
        </is>
      </c>
      <c r="B32" s="9">
        <f>IF(COLUMN()-1&gt;=Assumptions!$B$11,Assumptions!$B$10,0)</f>
        <v/>
      </c>
      <c r="C32" s="9">
        <f>IF(COLUMN()-1&gt;=Assumptions!$B$11,Assumptions!$B$10,0)</f>
        <v/>
      </c>
      <c r="D32" s="9">
        <f>IF(COLUMN()-1&gt;=Assumptions!$B$11,Assumptions!$B$10,0)</f>
        <v/>
      </c>
      <c r="E32" s="9">
        <f>IF(COLUMN()-1&gt;=Assumptions!$B$11,Assumptions!$B$10,0)</f>
        <v/>
      </c>
      <c r="F32" s="9">
        <f>IF(COLUMN()-1&gt;=Assumptions!$B$11,Assumptions!$B$10,0)</f>
        <v/>
      </c>
      <c r="G32" s="9">
        <f>IF(COLUMN()-1&gt;=Assumptions!$B$11,Assumptions!$B$10,0)</f>
        <v/>
      </c>
      <c r="H32" s="9">
        <f>IF(COLUMN()-1&gt;=Assumptions!$B$11,Assumptions!$B$10,0)</f>
        <v/>
      </c>
      <c r="I32" s="9">
        <f>IF(COLUMN()-1&gt;=Assumptions!$B$11,Assumptions!$B$10,0)</f>
        <v/>
      </c>
      <c r="J32" s="9">
        <f>IF(COLUMN()-1&gt;=Assumptions!$B$11,Assumptions!$B$10,0)</f>
        <v/>
      </c>
      <c r="K32" s="9">
        <f>IF(COLUMN()-1&gt;=Assumptions!$B$11,Assumptions!$B$10,0)</f>
        <v/>
      </c>
      <c r="L32" s="9">
        <f>IF(COLUMN()-1&gt;=Assumptions!$B$11,Assumptions!$B$10,0)</f>
        <v/>
      </c>
      <c r="M32" s="9">
        <f>IF(COLUMN()-1&gt;=Assumptions!$B$11,Assumptions!$B$10,0)</f>
        <v/>
      </c>
    </row>
    <row r="33">
      <c r="A33" s="5" t="inlineStr">
        <is>
          <t>Marketing / events</t>
        </is>
      </c>
      <c r="B33" s="9">
        <f>IF(COLUMN()-1&gt;=Assumptions!$B$13,Assumptions!$B$12,0)</f>
        <v/>
      </c>
      <c r="C33" s="9">
        <f>IF(COLUMN()-1&gt;=Assumptions!$B$13,Assumptions!$B$12,0)</f>
        <v/>
      </c>
      <c r="D33" s="9">
        <f>IF(COLUMN()-1&gt;=Assumptions!$B$13,Assumptions!$B$12,0)</f>
        <v/>
      </c>
      <c r="E33" s="9">
        <f>IF(COLUMN()-1&gt;=Assumptions!$B$13,Assumptions!$B$12,0)</f>
        <v/>
      </c>
      <c r="F33" s="9">
        <f>IF(COLUMN()-1&gt;=Assumptions!$B$13,Assumptions!$B$12,0)</f>
        <v/>
      </c>
      <c r="G33" s="9">
        <f>IF(COLUMN()-1&gt;=Assumptions!$B$13,Assumptions!$B$12,0)</f>
        <v/>
      </c>
      <c r="H33" s="9">
        <f>IF(COLUMN()-1&gt;=Assumptions!$B$13,Assumptions!$B$12,0)</f>
        <v/>
      </c>
      <c r="I33" s="9">
        <f>IF(COLUMN()-1&gt;=Assumptions!$B$13,Assumptions!$B$12,0)</f>
        <v/>
      </c>
      <c r="J33" s="9">
        <f>IF(COLUMN()-1&gt;=Assumptions!$B$13,Assumptions!$B$12,0)</f>
        <v/>
      </c>
      <c r="K33" s="9">
        <f>IF(COLUMN()-1&gt;=Assumptions!$B$13,Assumptions!$B$12,0)</f>
        <v/>
      </c>
      <c r="L33" s="9">
        <f>IF(COLUMN()-1&gt;=Assumptions!$B$13,Assumptions!$B$12,0)</f>
        <v/>
      </c>
      <c r="M33" s="9">
        <f>IF(COLUMN()-1&gt;=Assumptions!$B$13,Assumptions!$B$12,0)</f>
        <v/>
      </c>
    </row>
    <row r="34">
      <c r="A34" s="5" t="inlineStr">
        <is>
          <t>Premises branding / place-based media</t>
        </is>
      </c>
      <c r="B34" s="9">
        <f>IF(COLUMN()-1&gt;=Assumptions!$B$15,Assumptions!$B$14,0)</f>
        <v/>
      </c>
      <c r="C34" s="9">
        <f>IF(COLUMN()-1&gt;=Assumptions!$B$15,Assumptions!$B$14,0)</f>
        <v/>
      </c>
      <c r="D34" s="9">
        <f>IF(COLUMN()-1&gt;=Assumptions!$B$15,Assumptions!$B$14,0)</f>
        <v/>
      </c>
      <c r="E34" s="9">
        <f>IF(COLUMN()-1&gt;=Assumptions!$B$15,Assumptions!$B$14,0)</f>
        <v/>
      </c>
      <c r="F34" s="9">
        <f>IF(COLUMN()-1&gt;=Assumptions!$B$15,Assumptions!$B$14,0)</f>
        <v/>
      </c>
      <c r="G34" s="9">
        <f>IF(COLUMN()-1&gt;=Assumptions!$B$15,Assumptions!$B$14,0)</f>
        <v/>
      </c>
      <c r="H34" s="9">
        <f>IF(COLUMN()-1&gt;=Assumptions!$B$15,Assumptions!$B$14,0)</f>
        <v/>
      </c>
      <c r="I34" s="9">
        <f>IF(COLUMN()-1&gt;=Assumptions!$B$15,Assumptions!$B$14,0)</f>
        <v/>
      </c>
      <c r="J34" s="9">
        <f>IF(COLUMN()-1&gt;=Assumptions!$B$15,Assumptions!$B$14,0)</f>
        <v/>
      </c>
      <c r="K34" s="9">
        <f>IF(COLUMN()-1&gt;=Assumptions!$B$15,Assumptions!$B$14,0)</f>
        <v/>
      </c>
      <c r="L34" s="9">
        <f>IF(COLUMN()-1&gt;=Assumptions!$B$15,Assumptions!$B$14,0)</f>
        <v/>
      </c>
      <c r="M34" s="9">
        <f>IF(COLUMN()-1&gt;=Assumptions!$B$15,Assumptions!$B$14,0)</f>
        <v/>
      </c>
    </row>
    <row r="35">
      <c r="A35" s="5" t="inlineStr">
        <is>
          <t>Connected Garage pilot</t>
        </is>
      </c>
      <c r="B35" s="9">
        <f>IF(COLUMN()-1&gt;=Assumptions!$B$17,Assumptions!$B$16,0)</f>
        <v/>
      </c>
      <c r="C35" s="9">
        <f>IF(COLUMN()-1&gt;=Assumptions!$B$17,Assumptions!$B$16,0)</f>
        <v/>
      </c>
      <c r="D35" s="9">
        <f>IF(COLUMN()-1&gt;=Assumptions!$B$17,Assumptions!$B$16,0)</f>
        <v/>
      </c>
      <c r="E35" s="9">
        <f>IF(COLUMN()-1&gt;=Assumptions!$B$17,Assumptions!$B$16,0)</f>
        <v/>
      </c>
      <c r="F35" s="9">
        <f>IF(COLUMN()-1&gt;=Assumptions!$B$17,Assumptions!$B$16,0)</f>
        <v/>
      </c>
      <c r="G35" s="9">
        <f>IF(COLUMN()-1&gt;=Assumptions!$B$17,Assumptions!$B$16,0)</f>
        <v/>
      </c>
      <c r="H35" s="9">
        <f>IF(COLUMN()-1&gt;=Assumptions!$B$17,Assumptions!$B$16,0)</f>
        <v/>
      </c>
      <c r="I35" s="9">
        <f>IF(COLUMN()-1&gt;=Assumptions!$B$17,Assumptions!$B$16,0)</f>
        <v/>
      </c>
      <c r="J35" s="9">
        <f>IF(COLUMN()-1&gt;=Assumptions!$B$17,Assumptions!$B$16,0)</f>
        <v/>
      </c>
      <c r="K35" s="9">
        <f>IF(COLUMN()-1&gt;=Assumptions!$B$17,Assumptions!$B$16,0)</f>
        <v/>
      </c>
      <c r="L35" s="9">
        <f>IF(COLUMN()-1&gt;=Assumptions!$B$17,Assumptions!$B$16,0)</f>
        <v/>
      </c>
      <c r="M35" s="9">
        <f>IF(COLUMN()-1&gt;=Assumptions!$B$17,Assumptions!$B$16,0)</f>
        <v/>
      </c>
    </row>
    <row r="36">
      <c r="A36" s="5" t="inlineStr">
        <is>
          <t>Legal / compliance</t>
        </is>
      </c>
      <c r="B36" s="9">
        <f>B12</f>
        <v/>
      </c>
      <c r="C36" s="9">
        <f>C12</f>
        <v/>
      </c>
      <c r="D36" s="9">
        <f>D12</f>
        <v/>
      </c>
      <c r="E36" s="9">
        <f>E12</f>
        <v/>
      </c>
      <c r="F36" s="9">
        <f>F12</f>
        <v/>
      </c>
      <c r="G36" s="9">
        <f>G12</f>
        <v/>
      </c>
      <c r="H36" s="9">
        <f>H12</f>
        <v/>
      </c>
      <c r="I36" s="9">
        <f>I12</f>
        <v/>
      </c>
      <c r="J36" s="9">
        <f>J12</f>
        <v/>
      </c>
      <c r="K36" s="9">
        <f>K12</f>
        <v/>
      </c>
      <c r="L36" s="9">
        <f>L12</f>
        <v/>
      </c>
      <c r="M36" s="9">
        <f>M12</f>
        <v/>
      </c>
    </row>
    <row r="37">
      <c r="A37" s="5" t="inlineStr">
        <is>
          <t>Equipment / initial production</t>
        </is>
      </c>
      <c r="B37" s="9">
        <f>B13</f>
        <v/>
      </c>
      <c r="C37" s="9">
        <f>C13</f>
        <v/>
      </c>
      <c r="D37" s="9">
        <f>D13</f>
        <v/>
      </c>
      <c r="E37" s="9">
        <f>E13</f>
        <v/>
      </c>
      <c r="F37" s="9">
        <f>F13</f>
        <v/>
      </c>
      <c r="G37" s="9">
        <f>G13</f>
        <v/>
      </c>
      <c r="H37" s="9">
        <f>H13</f>
        <v/>
      </c>
      <c r="I37" s="9">
        <f>I13</f>
        <v/>
      </c>
      <c r="J37" s="9">
        <f>J13</f>
        <v/>
      </c>
      <c r="K37" s="9">
        <f>K13</f>
        <v/>
      </c>
      <c r="L37" s="9">
        <f>L13</f>
        <v/>
      </c>
      <c r="M37" s="9">
        <f>M13</f>
        <v/>
      </c>
    </row>
    <row r="38">
      <c r="A38" s="5" t="inlineStr">
        <is>
          <t>Vendor / local campaign delivery cost</t>
        </is>
      </c>
      <c r="B38" s="9">
        <f>B11*Assumptions!$B$34</f>
        <v/>
      </c>
      <c r="C38" s="9">
        <f>C11*Assumptions!$B$34</f>
        <v/>
      </c>
      <c r="D38" s="9">
        <f>D11*Assumptions!$B$34</f>
        <v/>
      </c>
      <c r="E38" s="9">
        <f>E11*Assumptions!$B$34</f>
        <v/>
      </c>
      <c r="F38" s="9">
        <f>F11*Assumptions!$B$34</f>
        <v/>
      </c>
      <c r="G38" s="9">
        <f>G11*Assumptions!$B$34</f>
        <v/>
      </c>
      <c r="H38" s="9">
        <f>H11*Assumptions!$B$34</f>
        <v/>
      </c>
      <c r="I38" s="9">
        <f>I11*Assumptions!$B$34</f>
        <v/>
      </c>
      <c r="J38" s="9">
        <f>J11*Assumptions!$B$34</f>
        <v/>
      </c>
      <c r="K38" s="9">
        <f>K11*Assumptions!$B$34</f>
        <v/>
      </c>
      <c r="L38" s="9">
        <f>L11*Assumptions!$B$34</f>
        <v/>
      </c>
      <c r="M38" s="9">
        <f>M11*Assumptions!$B$34</f>
        <v/>
      </c>
    </row>
    <row r="39">
      <c r="A39" s="5" t="inlineStr">
        <is>
          <t>New member acquisition / onboarding cost</t>
        </is>
      </c>
      <c r="B39" s="9">
        <f>B9*Assumptions!$B$35</f>
        <v/>
      </c>
      <c r="C39" s="9">
        <f>C9*Assumptions!$B$35</f>
        <v/>
      </c>
      <c r="D39" s="9">
        <f>D9*Assumptions!$B$35</f>
        <v/>
      </c>
      <c r="E39" s="9">
        <f>E9*Assumptions!$B$35</f>
        <v/>
      </c>
      <c r="F39" s="9">
        <f>F9*Assumptions!$B$35</f>
        <v/>
      </c>
      <c r="G39" s="9">
        <f>G9*Assumptions!$B$35</f>
        <v/>
      </c>
      <c r="H39" s="9">
        <f>H9*Assumptions!$B$35</f>
        <v/>
      </c>
      <c r="I39" s="9">
        <f>I9*Assumptions!$B$35</f>
        <v/>
      </c>
      <c r="J39" s="9">
        <f>J9*Assumptions!$B$35</f>
        <v/>
      </c>
      <c r="K39" s="9">
        <f>K9*Assumptions!$B$35</f>
        <v/>
      </c>
      <c r="L39" s="9">
        <f>L9*Assumptions!$B$35</f>
        <v/>
      </c>
      <c r="M39" s="9">
        <f>M9*Assumptions!$B$35</f>
        <v/>
      </c>
    </row>
    <row r="40">
      <c r="A40" s="2" t="inlineStr">
        <is>
          <t>Total operating expenses</t>
        </is>
      </c>
      <c r="B40" s="9">
        <f>SUM(B29:B39)</f>
        <v/>
      </c>
      <c r="C40" s="9">
        <f>SUM(C29:C39)</f>
        <v/>
      </c>
      <c r="D40" s="9">
        <f>SUM(D29:D39)</f>
        <v/>
      </c>
      <c r="E40" s="9">
        <f>SUM(E29:E39)</f>
        <v/>
      </c>
      <c r="F40" s="9">
        <f>SUM(F29:F39)</f>
        <v/>
      </c>
      <c r="G40" s="9">
        <f>SUM(G29:G39)</f>
        <v/>
      </c>
      <c r="H40" s="9">
        <f>SUM(H29:H39)</f>
        <v/>
      </c>
      <c r="I40" s="9">
        <f>SUM(I29:I39)</f>
        <v/>
      </c>
      <c r="J40" s="9">
        <f>SUM(J29:J39)</f>
        <v/>
      </c>
      <c r="K40" s="9">
        <f>SUM(K29:K39)</f>
        <v/>
      </c>
      <c r="L40" s="9">
        <f>SUM(L29:L39)</f>
        <v/>
      </c>
      <c r="M40" s="9">
        <f>SUM(M29:M39)</f>
        <v/>
      </c>
    </row>
    <row r="42">
      <c r="A42" s="2" t="inlineStr">
        <is>
          <t>Cash position</t>
        </is>
      </c>
    </row>
    <row r="43">
      <c r="A43" s="2" t="inlineStr">
        <is>
          <t>Net operating cash flow</t>
        </is>
      </c>
      <c r="B43" s="9">
        <f>B26-B40</f>
        <v/>
      </c>
      <c r="C43" s="9">
        <f>C26-C40</f>
        <v/>
      </c>
      <c r="D43" s="9">
        <f>D26-D40</f>
        <v/>
      </c>
      <c r="E43" s="9">
        <f>E26-E40</f>
        <v/>
      </c>
      <c r="F43" s="9">
        <f>F26-F40</f>
        <v/>
      </c>
      <c r="G43" s="9">
        <f>G26-G40</f>
        <v/>
      </c>
      <c r="H43" s="9">
        <f>H26-H40</f>
        <v/>
      </c>
      <c r="I43" s="9">
        <f>I26-I40</f>
        <v/>
      </c>
      <c r="J43" s="9">
        <f>J26-J40</f>
        <v/>
      </c>
      <c r="K43" s="9">
        <f>K26-K40</f>
        <v/>
      </c>
      <c r="L43" s="9">
        <f>L26-L40</f>
        <v/>
      </c>
      <c r="M43" s="9">
        <f>M26-M40</f>
        <v/>
      </c>
    </row>
    <row r="44">
      <c r="A44" s="2" t="inlineStr">
        <is>
          <t>Cumulative cash before funding</t>
        </is>
      </c>
      <c r="B44" s="9">
        <f>B43</f>
        <v/>
      </c>
      <c r="C44" s="9">
        <f>B44+C43</f>
        <v/>
      </c>
      <c r="D44" s="9">
        <f>C44+D43</f>
        <v/>
      </c>
      <c r="E44" s="9">
        <f>D44+E43</f>
        <v/>
      </c>
      <c r="F44" s="9">
        <f>E44+F43</f>
        <v/>
      </c>
      <c r="G44" s="9">
        <f>F44+G43</f>
        <v/>
      </c>
      <c r="H44" s="9">
        <f>G44+H43</f>
        <v/>
      </c>
      <c r="I44" s="9">
        <f>H44+I43</f>
        <v/>
      </c>
      <c r="J44" s="9">
        <f>I44+J43</f>
        <v/>
      </c>
      <c r="K44" s="9">
        <f>J44+K43</f>
        <v/>
      </c>
      <c r="L44" s="9">
        <f>K44+L43</f>
        <v/>
      </c>
      <c r="M44" s="9">
        <f>L44+M43</f>
        <v/>
      </c>
    </row>
    <row r="45">
      <c r="A45" s="2" t="inlineStr">
        <is>
          <t>Opening cash</t>
        </is>
      </c>
      <c r="B45" s="9">
        <f>Assumptions!$B$27</f>
        <v/>
      </c>
      <c r="C45" s="9">
        <f>B47</f>
        <v/>
      </c>
      <c r="D45" s="9">
        <f>C47</f>
        <v/>
      </c>
      <c r="E45" s="9">
        <f>D47</f>
        <v/>
      </c>
      <c r="F45" s="9">
        <f>E47</f>
        <v/>
      </c>
      <c r="G45" s="9">
        <f>F47</f>
        <v/>
      </c>
      <c r="H45" s="9">
        <f>G47</f>
        <v/>
      </c>
      <c r="I45" s="9">
        <f>H47</f>
        <v/>
      </c>
      <c r="J45" s="9">
        <f>I47</f>
        <v/>
      </c>
      <c r="K45" s="9">
        <f>J47</f>
        <v/>
      </c>
      <c r="L45" s="9">
        <f>K47</f>
        <v/>
      </c>
      <c r="M45" s="9">
        <f>L47</f>
        <v/>
      </c>
    </row>
    <row r="46">
      <c r="A46" s="2" t="inlineStr">
        <is>
          <t>External funding draw</t>
        </is>
      </c>
      <c r="B46" s="9">
        <f>B14</f>
        <v/>
      </c>
      <c r="C46" s="9">
        <f>C14</f>
        <v/>
      </c>
      <c r="D46" s="9">
        <f>D14</f>
        <v/>
      </c>
      <c r="E46" s="9">
        <f>E14</f>
        <v/>
      </c>
      <c r="F46" s="9">
        <f>F14</f>
        <v/>
      </c>
      <c r="G46" s="9">
        <f>G14</f>
        <v/>
      </c>
      <c r="H46" s="9">
        <f>H14</f>
        <v/>
      </c>
      <c r="I46" s="9">
        <f>I14</f>
        <v/>
      </c>
      <c r="J46" s="9">
        <f>J14</f>
        <v/>
      </c>
      <c r="K46" s="9">
        <f>K14</f>
        <v/>
      </c>
      <c r="L46" s="9">
        <f>L14</f>
        <v/>
      </c>
      <c r="M46" s="9">
        <f>M14</f>
        <v/>
      </c>
    </row>
    <row r="47">
      <c r="A47" s="2" t="inlineStr">
        <is>
          <t>Closing cash</t>
        </is>
      </c>
      <c r="B47" s="9">
        <f>B45+B43+B46</f>
        <v/>
      </c>
      <c r="C47" s="9">
        <f>C45+C43+C46</f>
        <v/>
      </c>
      <c r="D47" s="9">
        <f>D45+D43+D46</f>
        <v/>
      </c>
      <c r="E47" s="9">
        <f>E45+E43+E46</f>
        <v/>
      </c>
      <c r="F47" s="9">
        <f>F45+F43+F46</f>
        <v/>
      </c>
      <c r="G47" s="9">
        <f>G45+G43+G46</f>
        <v/>
      </c>
      <c r="H47" s="9">
        <f>H45+H43+H46</f>
        <v/>
      </c>
      <c r="I47" s="9">
        <f>I45+I43+I46</f>
        <v/>
      </c>
      <c r="J47" s="9">
        <f>J45+J43+J46</f>
        <v/>
      </c>
      <c r="K47" s="9">
        <f>K45+K43+K46</f>
        <v/>
      </c>
      <c r="L47" s="9">
        <f>L45+L43+L46</f>
        <v/>
      </c>
      <c r="M47" s="9">
        <f>M45+M43+M46</f>
        <v/>
      </c>
    </row>
    <row r="48">
      <c r="A48" s="2" t="inlineStr">
        <is>
          <t>Cash above / (below) reserve</t>
        </is>
      </c>
      <c r="B48" s="9">
        <f>B47-Assumptions!$B$18</f>
        <v/>
      </c>
      <c r="C48" s="9">
        <f>C47-Assumptions!$B$18</f>
        <v/>
      </c>
      <c r="D48" s="9">
        <f>D47-Assumptions!$B$18</f>
        <v/>
      </c>
      <c r="E48" s="9">
        <f>E47-Assumptions!$B$18</f>
        <v/>
      </c>
      <c r="F48" s="9">
        <f>F47-Assumptions!$B$18</f>
        <v/>
      </c>
      <c r="G48" s="9">
        <f>G47-Assumptions!$B$18</f>
        <v/>
      </c>
      <c r="H48" s="9">
        <f>H47-Assumptions!$B$18</f>
        <v/>
      </c>
      <c r="I48" s="9">
        <f>I47-Assumptions!$B$18</f>
        <v/>
      </c>
      <c r="J48" s="9">
        <f>J47-Assumptions!$B$18</f>
        <v/>
      </c>
      <c r="K48" s="9">
        <f>K47-Assumptions!$B$18</f>
        <v/>
      </c>
      <c r="L48" s="9">
        <f>L47-Assumptions!$B$18</f>
        <v/>
      </c>
      <c r="M48" s="9">
        <f>M47-Assumptions!$B$18</f>
        <v/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65E2E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0.7109375" customWidth="1" min="1" max="1"/>
    <col width="20.7109375" customWidth="1" min="2" max="2"/>
    <col width="72.7109375" customWidth="1" min="3" max="3"/>
  </cols>
  <sheetData>
    <row r="1">
      <c r="A1" s="1" t="inlineStr">
        <is>
          <t>Funding Waterfall and Capital Timing</t>
        </is>
      </c>
    </row>
    <row r="3">
      <c r="A3" s="4" t="inlineStr">
        <is>
          <t>Measure</t>
        </is>
      </c>
      <c r="B3" s="4" t="inlineStr">
        <is>
          <t>Formula / Value</t>
        </is>
      </c>
      <c r="C3" s="4" t="inlineStr">
        <is>
          <t>Interpretation</t>
        </is>
      </c>
    </row>
    <row r="4">
      <c r="A4" s="5" t="inlineStr">
        <is>
          <t>Launch-year revenue receipts</t>
        </is>
      </c>
      <c r="B4" s="9">
        <f>SUM('12 Month Cash Flow'!B26:M26)</f>
        <v/>
      </c>
      <c r="C4" s="3" t="inlineStr">
        <is>
          <t>Cash receipts from the launch schedule, recurring memberships, annual dues, booking fees, and campaign contributions.</t>
        </is>
      </c>
    </row>
    <row r="5">
      <c r="A5" s="5" t="inlineStr">
        <is>
          <t>Launch-year operating expenses</t>
        </is>
      </c>
      <c r="B5" s="9">
        <f>SUM('12 Month Cash Flow'!B40:M40)</f>
        <v/>
      </c>
      <c r="C5" s="3" t="inlineStr">
        <is>
          <t>Cash operating costs, including the editable legal and equipment schedules.</t>
        </is>
      </c>
    </row>
    <row r="6">
      <c r="A6" s="5" t="inlineStr">
        <is>
          <t>Launch-year net operating cash flow</t>
        </is>
      </c>
      <c r="B6" s="9">
        <f>B4-B5</f>
        <v/>
      </c>
      <c r="C6" s="3" t="inlineStr">
        <is>
          <t>Negative means the ramp consumes cash before founder or external funding.</t>
        </is>
      </c>
    </row>
    <row r="7">
      <c r="A7" s="5" t="inlineStr">
        <is>
          <t>Lowest cumulative cash before funding</t>
        </is>
      </c>
      <c r="B7" s="9">
        <f>MIN('12 Month Cash Flow'!B44:M44)</f>
        <v/>
      </c>
      <c r="C7" s="3" t="inlineStr">
        <is>
          <t>Worst point if no starting capital or external funding is drawn.</t>
        </is>
      </c>
    </row>
    <row r="8">
      <c r="A8" s="5" t="inlineStr">
        <is>
          <t>Required reserve</t>
        </is>
      </c>
      <c r="B8" s="9">
        <f>Assumptions!$B$18</f>
        <v/>
      </c>
      <c r="C8" s="3" t="inlineStr">
        <is>
          <t>Minimum desired balance.</t>
        </is>
      </c>
    </row>
    <row r="9">
      <c r="A9" s="5" t="inlineStr">
        <is>
          <t>Minimum funding to preserve reserve</t>
        </is>
      </c>
      <c r="B9" s="9">
        <f>MAX(0,-B7+B8)</f>
        <v/>
      </c>
      <c r="C9" s="3" t="inlineStr">
        <is>
          <t>Capital required in total, regardless of whether it is founder capital, debt, or investment.</t>
        </is>
      </c>
    </row>
    <row r="10">
      <c r="A10" s="5" t="inlineStr">
        <is>
          <t>Recommended 10% contingency</t>
        </is>
      </c>
      <c r="B10" s="9">
        <f>B9*10%</f>
        <v/>
      </c>
      <c r="C10" s="3" t="inlineStr">
        <is>
          <t>Delay/refund/collection-risk buffer.</t>
        </is>
      </c>
    </row>
    <row r="11">
      <c r="A11" s="5" t="inlineStr">
        <is>
          <t>Recommended total committed capital</t>
        </is>
      </c>
      <c r="B11" s="9">
        <f>B9+B10</f>
        <v/>
      </c>
      <c r="C11" s="3" t="inlineStr">
        <is>
          <t>Capital that should be committed or contractually available before launch.</t>
        </is>
      </c>
    </row>
    <row r="12">
      <c r="A12" s="5" t="inlineStr">
        <is>
          <t>Scheduled starting capital and external draws</t>
        </is>
      </c>
      <c r="B12" s="9">
        <f>Assumptions!$B$27+SUM('12 Month Cash Flow'!B46:M46)</f>
        <v/>
      </c>
      <c r="C12" s="3" t="inlineStr">
        <is>
          <t>Only enter funded or formally committed sources.</t>
        </is>
      </c>
    </row>
    <row r="13">
      <c r="A13" s="5" t="inlineStr">
        <is>
          <t>Committed capital surplus / (shortfall)</t>
        </is>
      </c>
      <c r="B13" s="9">
        <f>B12-B11</f>
        <v/>
      </c>
      <c r="C13" s="3" t="inlineStr">
        <is>
          <t>Positive means the plan meets the target; negative means reduce burn, accelerate receipts, or close funding.</t>
        </is>
      </c>
    </row>
    <row r="16">
      <c r="A16" s="2" t="inlineStr">
        <is>
          <t>Funding order</t>
        </is>
      </c>
    </row>
    <row r="17">
      <c r="A17" s="5" t="inlineStr">
        <is>
          <t>1. Partner launch fees and annual member dues</t>
        </is>
      </c>
      <c r="B17" s="5" t="inlineStr">
        <is>
          <t>First</t>
        </is>
      </c>
      <c r="C17" s="3" t="inlineStr">
        <is>
          <t>Collect launch fees in milestone-based installments and annual membership revenue upfront where possible.</t>
        </is>
      </c>
    </row>
    <row r="18">
      <c r="A18" s="5" t="inlineStr">
        <is>
          <t>2. Delayable founder draw and staged initial payments</t>
        </is>
      </c>
      <c r="B18" s="5" t="inlineStr">
        <is>
          <t>Cash preservation</t>
        </is>
      </c>
      <c r="C18" s="3" t="inlineStr">
        <is>
          <t>Use start-month controls and payment schedules to align cash cost with actual partner/member activation, not with a calendar date.</t>
        </is>
      </c>
    </row>
    <row r="19">
      <c r="A19" s="5" t="inlineStr">
        <is>
          <t>3. Founder capital or committed outside investment</t>
        </is>
      </c>
      <c r="B19" s="5" t="inlineStr">
        <is>
          <t>Base-case gap</t>
        </is>
      </c>
      <c r="C19" s="3" t="inlineStr">
        <is>
          <t>Fund the calculated reserve requirement and legal/product milestones. Draw later only if the source is committed before the cash trough.</t>
        </is>
      </c>
    </row>
    <row r="20">
      <c r="A20" s="5" t="inlineStr">
        <is>
          <t>4. Small working-capital line</t>
        </is>
      </c>
      <c r="B20" s="5" t="inlineStr">
        <is>
          <t>Contingency</t>
        </is>
      </c>
      <c r="C20" s="3" t="inlineStr">
        <is>
          <t>Use only for contracted timing gaps after recurring collections exist; do not rely on debt for speculative events or open-ended payroll.</t>
        </is>
      </c>
    </row>
    <row r="21">
      <c r="A21" s="5" t="inlineStr">
        <is>
          <t>5. Strategic/equity investment</t>
        </is>
      </c>
      <c r="B21" s="5" t="inlineStr">
        <is>
          <t>Expansion</t>
        </is>
      </c>
      <c r="C21" s="3" t="inlineStr">
        <is>
          <t>Use for multi-market expansion, a facility, accelerated Connected Garage development, or a staffed team.</t>
        </is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6B5B95"/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46.7109375" customWidth="1" min="1" max="1"/>
    <col width="20.7109375" customWidth="1" min="2" max="2"/>
    <col width="66.7109375" customWidth="1" min="3" max="3"/>
  </cols>
  <sheetData>
    <row r="1">
      <c r="A1" s="1" t="inlineStr">
        <is>
          <t>Mature First-Market Annual Run Rate</t>
        </is>
      </c>
    </row>
    <row r="3">
      <c r="A3" s="4" t="inlineStr">
        <is>
          <t>Driver / Revenue line</t>
        </is>
      </c>
      <c r="B3" s="4" t="inlineStr">
        <is>
          <t>Formula / Value</t>
        </is>
      </c>
      <c r="C3" s="4" t="inlineStr">
        <is>
          <t>Notes</t>
        </is>
      </c>
    </row>
    <row r="4">
      <c r="A4" s="5" t="inlineStr">
        <is>
          <t>Certified Partners</t>
        </is>
      </c>
      <c r="B4" s="7" t="n">
        <v>10</v>
      </c>
      <c r="C4" s="3" t="inlineStr">
        <is>
          <t>Editable operating target.</t>
        </is>
      </c>
    </row>
    <row r="5">
      <c r="A5" s="5" t="inlineStr">
        <is>
          <t>Specialty / Infrastructure Partners</t>
        </is>
      </c>
      <c r="B5" s="7" t="n">
        <v>5</v>
      </c>
      <c r="C5" s="3" t="inlineStr">
        <is>
          <t>Editable operating target.</t>
        </is>
      </c>
    </row>
    <row r="6">
      <c r="A6" s="5" t="inlineStr">
        <is>
          <t>Full repair launches per year</t>
        </is>
      </c>
      <c r="B6" s="7" t="n">
        <v>10</v>
      </c>
      <c r="C6" s="3" t="inlineStr">
        <is>
          <t>New full launches after initial market activation.</t>
        </is>
      </c>
    </row>
    <row r="7">
      <c r="A7" s="5" t="inlineStr">
        <is>
          <t>Specialty / infrastructure launches per year</t>
        </is>
      </c>
      <c r="B7" s="7" t="n">
        <v>5</v>
      </c>
      <c r="C7" s="3" t="inlineStr">
        <is>
          <t>New lighter launches after initial market activation.</t>
        </is>
      </c>
    </row>
    <row r="8">
      <c r="A8" s="5" t="inlineStr">
        <is>
          <t>Annual consumer members</t>
        </is>
      </c>
      <c r="B8" s="7" t="n">
        <v>400</v>
      </c>
      <c r="C8" s="3" t="inlineStr">
        <is>
          <t>At annual member dues in the base case.</t>
        </is>
      </c>
    </row>
    <row r="9">
      <c r="A9" s="5" t="inlineStr">
        <is>
          <t>Completed bookings / qualified Certified Partner / window</t>
        </is>
      </c>
      <c r="B9" s="9">
        <f>Assumptions!$B$32</f>
        <v/>
      </c>
      <c r="C9" s="3" t="inlineStr">
        <is>
          <t>Formula uses the booking-window and qualification-delay assumptions on Assumptions.</t>
        </is>
      </c>
    </row>
    <row r="10">
      <c r="A10" s="5" t="inlineStr">
        <is>
          <t>Vendor / local campaigns per year</t>
        </is>
      </c>
      <c r="B10" s="7" t="n">
        <v>4</v>
      </c>
      <c r="C10" s="3" t="inlineStr">
        <is>
          <t>At the Assumptions campaign contribution.</t>
        </is>
      </c>
    </row>
    <row r="12">
      <c r="A12" s="2" t="inlineStr">
        <is>
          <t>Revenue</t>
        </is>
      </c>
    </row>
    <row r="13">
      <c r="A13" s="5" t="inlineStr">
        <is>
          <t>Full partner launches</t>
        </is>
      </c>
      <c r="B13" s="9">
        <f>B6*Assumptions!$B$19</f>
        <v/>
      </c>
      <c r="C13" s="3" t="inlineStr">
        <is>
          <t>Formula driven by the editable target above and Assumptions.</t>
        </is>
      </c>
    </row>
    <row r="14">
      <c r="A14" s="5" t="inlineStr">
        <is>
          <t>Specialty/infrastructure launches</t>
        </is>
      </c>
      <c r="B14" s="9">
        <f>B7*Assumptions!$B$20</f>
        <v/>
      </c>
      <c r="C14" s="3" t="inlineStr">
        <is>
          <t>Formula driven by the editable target above and Assumptions.</t>
        </is>
      </c>
    </row>
    <row r="15">
      <c r="A15" s="5" t="inlineStr">
        <is>
          <t>Certified Partner memberships</t>
        </is>
      </c>
      <c r="B15" s="9">
        <f>B4*Assumptions!$B$21*12</f>
        <v/>
      </c>
      <c r="C15" s="3" t="inlineStr">
        <is>
          <t>Formula driven by the editable target above and Assumptions.</t>
        </is>
      </c>
    </row>
    <row r="16">
      <c r="A16" s="5" t="inlineStr">
        <is>
          <t>Specialty/infrastructure memberships</t>
        </is>
      </c>
      <c r="B16" s="9">
        <f>B5*Assumptions!$B$22*12</f>
        <v/>
      </c>
      <c r="C16" s="3" t="inlineStr">
        <is>
          <t>Formula driven by the editable target above and Assumptions.</t>
        </is>
      </c>
    </row>
    <row r="17">
      <c r="A17" s="5" t="inlineStr">
        <is>
          <t>Annual consumer memberships</t>
        </is>
      </c>
      <c r="B17" s="9">
        <f>B8*Assumptions!$B$23</f>
        <v/>
      </c>
      <c r="C17" s="3" t="inlineStr">
        <is>
          <t>Formula driven by the editable target above and Assumptions.</t>
        </is>
      </c>
    </row>
    <row r="18">
      <c r="A18" s="5" t="inlineStr">
        <is>
          <t>Completed-booking fees</t>
        </is>
      </c>
      <c r="B18" s="9">
        <f>B4*Assumptions!$B$32/Assumptions!$B$31*12*Assumptions!$B$24+B5*Assumptions!$B$37/Assumptions!$B$31*12*Assumptions!$B$38</f>
        <v/>
      </c>
      <c r="C18" s="3" t="inlineStr">
        <is>
          <t>Certified and specialty/infrastructure booking streams use separate qualified-partner volumes, delays, and fixed fees from Assumptions.</t>
        </is>
      </c>
    </row>
    <row r="19">
      <c r="A19" s="5" t="inlineStr">
        <is>
          <t>Vendor/local campaigns</t>
        </is>
      </c>
      <c r="B19" s="9">
        <f>B10*Assumptions!$B$25</f>
        <v/>
      </c>
      <c r="C19" s="3" t="inlineStr">
        <is>
          <t>Formula driven by the editable target above and Assumptions.</t>
        </is>
      </c>
    </row>
    <row r="20">
      <c r="A20" s="5" t="inlineStr">
        <is>
          <t>Managed-service contribution</t>
        </is>
      </c>
      <c r="B20" s="9">
        <f>Assumptions!$B$28*12</f>
        <v/>
      </c>
      <c r="C20" s="3" t="inlineStr">
        <is>
          <t>Formula driven by the editable target above and Assumptions.</t>
        </is>
      </c>
    </row>
    <row r="21">
      <c r="A21" s="5" t="inlineStr">
        <is>
          <t>Expert-work contribution</t>
        </is>
      </c>
      <c r="B21" s="9">
        <f>Assumptions!$B$29*12</f>
        <v/>
      </c>
      <c r="C21" s="3" t="inlineStr">
        <is>
          <t>Formula driven by the editable target above and Assumptions.</t>
        </is>
      </c>
    </row>
    <row r="22">
      <c r="A22" s="2" t="inlineStr">
        <is>
          <t>Total annual gross revenue</t>
        </is>
      </c>
      <c r="B22" s="9">
        <f>SUM(B13:B21)</f>
        <v/>
      </c>
      <c r="C22" s="3" t="inlineStr">
        <is>
          <t>Gross revenue only. Add direct costs, staffing, taxes, payment fees, refunds, and market-specific overhead before using this as a profitability estimate.</t>
        </is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2026-10-07T19:38:22Z</dcterms:created>
  <dcterms:modified xsi:type="dcterms:W3CDTF">2026-10-07T21:52:49Z</dcterms:modified>
</cp:coreProperties>
</file>