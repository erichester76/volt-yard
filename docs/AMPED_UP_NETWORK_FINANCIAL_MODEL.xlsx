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Read Me" sheetId="1" state="visible" r:id="rId1"/>
    <sheet name="Assumptions" sheetId="2" state="visible" r:id="rId2"/>
    <sheet name="12 Month Cash Flow" sheetId="3" state="visible" r:id="rId3"/>
    <sheet name="Funding" sheetId="4" state="visible" r:id="rId4"/>
    <sheet name="Mature Run Rate" sheetId="5" state="visible" r:id="rId5"/>
  </sheets>
  <definedNames/>
  <calcPr calcId="124519" fullCalcOnLoad="1" forceFullCalc="1"/>
</workbook>
</file>

<file path=xl/styles.xml><?xml version="1.0" encoding="utf-8"?>
<styleSheet xmlns="http://schemas.openxmlformats.org/spreadsheetml/2006/main">
  <numFmts count="1">
    <numFmt numFmtId="164" formatCode="$#,##0;[Red]($#,##0)"/>
  </numFmts>
  <fonts count="4">
    <font>
      <name val="Calibri"/>
      <family val="2"/>
      <color theme="1"/>
      <sz val="11"/>
      <scheme val="minor"/>
    </font>
    <font>
      <name val="Calibri"/>
      <family val="2"/>
      <b val="1"/>
      <color rgb="FFFFFFFF"/>
      <sz val="16"/>
      <scheme val="minor"/>
    </font>
    <font>
      <name val="Calibri"/>
      <family val="2"/>
      <b val="1"/>
      <color rgb="FFFFFFFF"/>
      <sz val="11"/>
      <scheme val="minor"/>
    </font>
    <font>
      <name val="Calibri"/>
      <family val="2"/>
      <i val="1"/>
      <color rgb="FF5B6573"/>
      <sz val="11"/>
      <scheme val="minor"/>
    </font>
  </fonts>
  <fills count="6">
    <fill>
      <patternFill/>
    </fill>
    <fill>
      <patternFill patternType="gray125"/>
    </fill>
    <fill>
      <patternFill patternType="solid">
        <fgColor rgb="FF17324D"/>
        <bgColor indexed="64"/>
      </patternFill>
    </fill>
    <fill>
      <patternFill patternType="solid">
        <fgColor rgb="FF276678"/>
        <bgColor indexed="64"/>
      </patternFill>
    </fill>
    <fill>
      <patternFill patternType="solid">
        <fgColor rgb="FF2C3E50"/>
        <bgColor indexed="64"/>
      </patternFill>
    </fill>
    <fill>
      <patternFill patternType="solid">
        <fgColor rgb="FFFFF2C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pivotButton="0" quotePrefix="0" xfId="0"/>
    <xf numFmtId="0" fontId="1" fillId="2" borderId="0" pivotButton="0" quotePrefix="0" xfId="0"/>
    <xf numFmtId="0" fontId="2" fillId="3" borderId="0" pivotButton="0" quotePrefix="0" xfId="0"/>
    <xf numFmtId="0" fontId="0" fillId="0" borderId="1" applyAlignment="1" pivotButton="0" quotePrefix="0" xfId="0">
      <alignment vertical="top" wrapText="1"/>
    </xf>
    <xf numFmtId="0" fontId="2" fillId="4" borderId="1" applyAlignment="1" pivotButton="0" quotePrefix="0" xfId="0">
      <alignment horizontal="center"/>
    </xf>
    <xf numFmtId="0" fontId="0" fillId="0" borderId="1" pivotButton="0" quotePrefix="0" xfId="0"/>
    <xf numFmtId="164" fontId="0" fillId="5" borderId="1" pivotButton="0" quotePrefix="0" xfId="0"/>
    <xf numFmtId="0" fontId="0" fillId="5" borderId="1" pivotButton="0" quotePrefix="0" xfId="0"/>
    <xf numFmtId="0" fontId="3" fillId="0" borderId="0" applyAlignment="1" pivotButton="0" quotePrefix="0" xfId="0">
      <alignment wrapText="1"/>
    </xf>
    <xf numFmtId="164" fontId="0" fillId="0" borderId="1"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17324D"/>
    <outlinePr summaryBelow="1" summaryRight="1"/>
    <pageSetUpPr/>
  </sheetPr>
  <dimension ref="A1:B7"/>
  <sheetViews>
    <sheetView showGridLines="0" tabSelected="1" workbookViewId="0">
      <selection activeCell="A1" sqref="A1"/>
    </sheetView>
  </sheetViews>
  <sheetFormatPr baseColWidth="8" defaultRowHeight="15"/>
  <cols>
    <col width="24.7109375" customWidth="1" min="1" max="1"/>
    <col width="110.7109375" customWidth="1" min="2" max="2"/>
  </cols>
  <sheetData>
    <row r="1">
      <c r="A1" s="1" t="inlineStr">
        <is>
          <t>Amped Up Network Financial Model</t>
        </is>
      </c>
    </row>
    <row r="3">
      <c r="A3" s="2" t="inlineStr">
        <is>
          <t>How to use</t>
        </is>
      </c>
      <c r="B3" s="3" t="inlineStr">
        <is>
          <t>Edit yellow cells only. Assumptions controls recurring cost and price drivers; yellow rows on 12 Month Cash Flow control launch timing, one-time payment timing, and outside funding/debt/investment draws. Vendor campaign contributions are modeled as revenue and their incremental delivery cost is modeled separately. Formula rows recalculate automatically when opened in Excel, Numbers, or Google Sheets.</t>
        </is>
      </c>
    </row>
    <row r="5">
      <c r="A5" s="2" t="inlineStr">
        <is>
          <t>Backloading</t>
        </is>
      </c>
      <c r="B5" s="3" t="inlineStr">
        <is>
          <t>Set each recurring expense start month on Assumptions. Move legal, equipment, and other one-time payments across the yellow schedule on 12 Month Cash Flow. Completed bookings are calculated from active Certified Partners after the configurable qualification delay, using the trailing booking window on Assumptions. Use the yellow External funding draw row only when a loan, investment, or founder contribution is expected to close; do not count an uncommitted source as cash.</t>
        </is>
      </c>
    </row>
    <row r="7">
      <c r="A7" s="2" t="inlineStr">
        <is>
          <t>Capital decision</t>
        </is>
      </c>
      <c r="B7" s="3" t="inlineStr">
        <is>
          <t>Funding calculates the reserve requirement from the lowest cash point before funding. It shows the difference between minimum required funding and the timing of a proposed draw. All figures are planning assumptions, not financial advice or an earnings claim.</t>
        </is>
      </c>
    </row>
  </sheetData>
  <mergeCells count="1">
    <mergeCell ref="A1:B1"/>
  </mergeCells>
  <pageMargins left="0.7" right="0.7" top="0.75" bottom="0.75" header="0.3" footer="0.3"/>
</worksheet>
</file>

<file path=xl/worksheets/sheet2.xml><?xml version="1.0" encoding="utf-8"?>
<worksheet xmlns="http://schemas.openxmlformats.org/spreadsheetml/2006/main">
  <sheetPr>
    <tabColor rgb="FF276678"/>
    <outlinePr summaryBelow="1" summaryRight="1"/>
    <pageSetUpPr/>
  </sheetPr>
  <dimension ref="A1:D34"/>
  <sheetViews>
    <sheetView showGridLines="0" workbookViewId="0">
      <pane ySplit="3" topLeftCell="A4" activePane="bottomLeft" state="frozen"/>
      <selection pane="bottomLeft" activeCell="A1" sqref="A1"/>
    </sheetView>
  </sheetViews>
  <sheetFormatPr baseColWidth="8" defaultRowHeight="15"/>
  <cols>
    <col width="44.7109375" customWidth="1" min="1" max="1"/>
    <col width="16.7109375" customWidth="1" min="2" max="2"/>
    <col width="18.7109375" customWidth="1" min="3" max="3"/>
    <col width="70.7109375" customWidth="1" min="4" max="4"/>
  </cols>
  <sheetData>
    <row r="1">
      <c r="A1" s="1" t="inlineStr">
        <is>
          <t>Editable Assumptions</t>
        </is>
      </c>
    </row>
    <row r="3">
      <c r="A3" s="4" t="inlineStr">
        <is>
          <t>Driver</t>
        </is>
      </c>
      <c r="B3" s="4" t="inlineStr">
        <is>
          <t>Value</t>
        </is>
      </c>
      <c r="C3" s="4" t="inlineStr">
        <is>
          <t>Units</t>
        </is>
      </c>
      <c r="D3" s="4" t="inlineStr">
        <is>
          <t>Notes</t>
        </is>
      </c>
    </row>
    <row r="4">
      <c r="A4" s="5" t="inlineStr">
        <is>
          <t>Founder / operations monthly cash cost</t>
        </is>
      </c>
      <c r="B4" s="6" t="n">
        <v>4000</v>
      </c>
      <c r="C4" s="5" t="inlineStr">
        <is>
          <t>per month</t>
        </is>
      </c>
      <c r="D4" s="3" t="inlineStr">
        <is>
          <t>Founder-led draw and targeted operating support; excludes replacement-value labor.</t>
        </is>
      </c>
    </row>
    <row r="5">
      <c r="A5" s="5" t="inlineStr">
        <is>
          <t>Founder / operations start month</t>
        </is>
      </c>
      <c r="B5" s="7" t="n">
        <v>4</v>
      </c>
      <c r="C5" s="5" t="inlineStr">
        <is>
          <t>month number</t>
        </is>
      </c>
      <c r="D5" s="3" t="inlineStr">
        <is>
          <t>Delay draw until the business reaches the chosen milestone; do not defer necessary safety/compliance work.</t>
        </is>
      </c>
    </row>
    <row r="6">
      <c r="A6" s="5" t="inlineStr">
        <is>
          <t>Engineering / product monthly cash cost</t>
        </is>
      </c>
      <c r="B6" s="6" t="n">
        <v>2000</v>
      </c>
      <c r="C6" s="5" t="inlineStr">
        <is>
          <t>per month</t>
        </is>
      </c>
      <c r="D6" s="3" t="inlineStr">
        <is>
          <t>Contract only milestone-critical work.</t>
        </is>
      </c>
    </row>
    <row r="7">
      <c r="A7" s="5" t="inlineStr">
        <is>
          <t>Engineering / product start month</t>
        </is>
      </c>
      <c r="B7" s="7" t="n">
        <v>2</v>
      </c>
      <c r="C7" s="5" t="inlineStr">
        <is>
          <t>month number</t>
        </is>
      </c>
      <c r="D7" s="3" t="n"/>
    </row>
    <row r="8">
      <c r="A8" s="5" t="inlineStr">
        <is>
          <t>Content / social monthly cash cost</t>
        </is>
      </c>
      <c r="B8" s="6" t="n">
        <v>1500</v>
      </c>
      <c r="C8" s="5" t="inlineStr">
        <is>
          <t>per month</t>
        </is>
      </c>
      <c r="D8" s="3" t="inlineStr">
        <is>
          <t>Family-assisted production plus targeted outside work.</t>
        </is>
      </c>
    </row>
    <row r="9">
      <c r="A9" s="5" t="inlineStr">
        <is>
          <t>Content / social start month</t>
        </is>
      </c>
      <c r="B9" s="7" t="n">
        <v>3</v>
      </c>
      <c r="C9" s="5" t="inlineStr">
        <is>
          <t>month number</t>
        </is>
      </c>
      <c r="D9" s="3" t="n"/>
    </row>
    <row r="10">
      <c r="A10" s="5" t="inlineStr">
        <is>
          <t>Software / payments / data monthly cost</t>
        </is>
      </c>
      <c r="B10" s="6" t="n">
        <v>1500</v>
      </c>
      <c r="C10" s="5" t="inlineStr">
        <is>
          <t>per month</t>
        </is>
      </c>
      <c r="D10" s="3" t="inlineStr">
        <is>
          <t>Hosting, communications, analytics, CRM, and payment tooling.</t>
        </is>
      </c>
    </row>
    <row r="11">
      <c r="A11" s="5" t="inlineStr">
        <is>
          <t>Software / payments / data start month</t>
        </is>
      </c>
      <c r="B11" s="7" t="n">
        <v>1</v>
      </c>
      <c r="C11" s="5" t="inlineStr">
        <is>
          <t>month number</t>
        </is>
      </c>
      <c r="D11" s="3" t="n"/>
    </row>
    <row r="12">
      <c r="A12" s="5" t="inlineStr">
        <is>
          <t>Marketing / event monthly cash cost</t>
        </is>
      </c>
      <c r="B12" s="6" t="n">
        <v>1500</v>
      </c>
      <c r="C12" s="5" t="inlineStr">
        <is>
          <t>per month</t>
        </is>
      </c>
      <c r="D12" s="3" t="inlineStr">
        <is>
          <t>Partner-hosted and co-funded events; no self-funded large shows in year one.</t>
        </is>
      </c>
    </row>
    <row r="13">
      <c r="A13" s="5" t="inlineStr">
        <is>
          <t>Marketing / event start month</t>
        </is>
      </c>
      <c r="B13" s="7" t="n">
        <v>4</v>
      </c>
      <c r="C13" s="5" t="inlineStr">
        <is>
          <t>month number</t>
        </is>
      </c>
      <c r="D13" s="3" t="n"/>
    </row>
    <row r="14">
      <c r="A14" s="5" t="inlineStr">
        <is>
          <t>Premises branding / place-based media monthly cost</t>
        </is>
      </c>
      <c r="B14" s="6" t="n">
        <v>1250</v>
      </c>
      <c r="C14" s="5" t="inlineStr">
        <is>
          <t>per month</t>
        </is>
      </c>
      <c r="D14" s="3" t="inlineStr">
        <is>
          <t>Partner kits and small local media tests before billboards.</t>
        </is>
      </c>
    </row>
    <row r="15">
      <c r="A15" s="5" t="inlineStr">
        <is>
          <t>Premises branding / place-based media start month</t>
        </is>
      </c>
      <c r="B15" s="7" t="n">
        <v>4</v>
      </c>
      <c r="C15" s="5" t="inlineStr">
        <is>
          <t>month number</t>
        </is>
      </c>
      <c r="D15" s="3" t="n"/>
    </row>
    <row r="16">
      <c r="A16" s="5" t="inlineStr">
        <is>
          <t>Connected Garage monthly pilot cost</t>
        </is>
      </c>
      <c r="B16" s="6" t="n">
        <v>1000</v>
      </c>
      <c r="C16" s="5" t="inlineStr">
        <is>
          <t>per month</t>
        </is>
      </c>
      <c r="D16" s="3" t="inlineStr">
        <is>
          <t>Tesla-first Tessie pilot, secure telemetry storage/processing, and support.</t>
        </is>
      </c>
    </row>
    <row r="17">
      <c r="A17" s="5" t="inlineStr">
        <is>
          <t>Connected Garage pilot start month</t>
        </is>
      </c>
      <c r="B17" s="7" t="n">
        <v>7</v>
      </c>
      <c r="C17" s="5" t="inlineStr">
        <is>
          <t>month number</t>
        </is>
      </c>
      <c r="D17" s="3" t="inlineStr">
        <is>
          <t>Set to 13 to defer beyond the first year.</t>
        </is>
      </c>
    </row>
    <row r="18">
      <c r="A18" s="5" t="inlineStr">
        <is>
          <t>Working-capital reserve</t>
        </is>
      </c>
      <c r="B18" s="6" t="n">
        <v>25000</v>
      </c>
      <c r="C18" s="5" t="inlineStr">
        <is>
          <t>cash balance</t>
        </is>
      </c>
      <c r="D18" s="3" t="inlineStr">
        <is>
          <t>Minimum desired cash balance, not an operating expense.</t>
        </is>
      </c>
    </row>
    <row r="19">
      <c r="A19" s="5" t="inlineStr">
        <is>
          <t>Full repair-partner launch fee</t>
        </is>
      </c>
      <c r="B19" s="6" t="n">
        <v>4000</v>
      </c>
      <c r="C19" s="5" t="inlineStr">
        <is>
          <t>per partner</t>
        </is>
      </c>
      <c r="D19" s="3" t="inlineStr">
        <is>
          <t>Core EV Repair launch program.</t>
        </is>
      </c>
    </row>
    <row r="20">
      <c r="A20" s="5" t="inlineStr">
        <is>
          <t>Specialty / infrastructure launch fee</t>
        </is>
      </c>
      <c r="B20" s="6" t="n">
        <v>1500</v>
      </c>
      <c r="C20" s="5" t="inlineStr">
        <is>
          <t>per partner</t>
        </is>
      </c>
      <c r="D20" s="3" t="inlineStr">
        <is>
          <t>Streamlined specialty or infrastructure launch.</t>
        </is>
      </c>
    </row>
    <row r="21">
      <c r="A21" s="5" t="inlineStr">
        <is>
          <t>Certified Partner monthly membership</t>
        </is>
      </c>
      <c r="B21" s="6" t="n">
        <v>499</v>
      </c>
      <c r="C21" s="5" t="inlineStr">
        <is>
          <t>per partner/month</t>
        </is>
      </c>
      <c r="D21" s="3" t="n"/>
    </row>
    <row r="22">
      <c r="A22" s="5" t="inlineStr">
        <is>
          <t>Specialty / infrastructure monthly membership</t>
        </is>
      </c>
      <c r="B22" s="6" t="n">
        <v>199</v>
      </c>
      <c r="C22" s="5" t="inlineStr">
        <is>
          <t>per partner/month</t>
        </is>
      </c>
      <c r="D22" s="3" t="n"/>
    </row>
    <row r="23">
      <c r="A23" s="5" t="inlineStr">
        <is>
          <t>Annual member dues</t>
        </is>
      </c>
      <c r="B23" s="6" t="n">
        <v>99</v>
      </c>
      <c r="C23" s="5" t="inlineStr">
        <is>
          <t>per new member</t>
        </is>
      </c>
      <c r="D23" s="3" t="inlineStr">
        <is>
          <t>Collected upfront in this model.</t>
        </is>
      </c>
    </row>
    <row r="24">
      <c r="A24" s="5" t="inlineStr">
        <is>
          <t>Completed-booking fee</t>
        </is>
      </c>
      <c r="B24" s="6" t="n">
        <v>40</v>
      </c>
      <c r="C24" s="5" t="inlineStr">
        <is>
          <t>per completed booking</t>
        </is>
      </c>
      <c r="D24" s="3" t="inlineStr">
        <is>
          <t>Subject to final legal and attribution review.</t>
        </is>
      </c>
    </row>
    <row r="25">
      <c r="A25" s="5" t="inlineStr">
        <is>
          <t>Vendor / campaign contribution</t>
        </is>
      </c>
      <c r="B25" s="6" t="n">
        <v>3000</v>
      </c>
      <c r="C25" s="5" t="inlineStr">
        <is>
          <t>per campaign</t>
        </is>
      </c>
      <c r="D25" s="3" t="inlineStr">
        <is>
          <t>Vendor-funded or local partner campaign.</t>
        </is>
      </c>
    </row>
    <row r="26">
      <c r="A26" s="5" t="inlineStr">
        <is>
          <t>Starting founder capital</t>
        </is>
      </c>
      <c r="B26" s="6" t="n">
        <v>0</v>
      </c>
      <c r="C26" s="5" t="inlineStr">
        <is>
          <t>cash</t>
        </is>
      </c>
      <c r="D26" s="3" t="inlineStr">
        <is>
          <t>Cash already available before Month 1. Keep at zero when modeling a fully backloaded draw.</t>
        </is>
      </c>
    </row>
    <row r="27">
      <c r="A27" s="5" t="inlineStr">
        <is>
          <t>Managed-service contribution margin</t>
        </is>
      </c>
      <c r="B27" s="6" t="n">
        <v>0</v>
      </c>
      <c r="C27" s="5" t="inlineStr">
        <is>
          <t>per month</t>
        </is>
      </c>
      <c r="D27" s="3" t="inlineStr">
        <is>
          <t>Enter only after a bounded service is proven.</t>
        </is>
      </c>
    </row>
    <row r="28">
      <c r="A28" s="5" t="inlineStr">
        <is>
          <t>Expert-work contribution margin</t>
        </is>
      </c>
      <c r="B28" s="6" t="n">
        <v>0</v>
      </c>
      <c r="C28" s="5" t="inlineStr">
        <is>
          <t>per month</t>
        </is>
      </c>
      <c r="D28" s="3" t="inlineStr">
        <is>
          <t>Enter only after pricing, payout, tax, and dispute operations are live.</t>
        </is>
      </c>
    </row>
    <row r="29"/>
    <row r="31">
      <c r="A31" t="inlineStr">
        <is>
          <t>Booking measurement window</t>
        </is>
      </c>
      <c r="B31" s="7" t="n">
        <v>2</v>
      </c>
      <c r="C31" t="inlineStr">
        <is>
          <t>months</t>
        </is>
      </c>
      <c r="D31" t="inlineStr">
        <is>
          <t>Use a trailing two-month window for qualified Certified Partner booking performance.</t>
        </is>
      </c>
    </row>
    <row r="32">
      <c r="A32" t="inlineStr">
        <is>
          <t>Completed bookings per qualified Certified Partner / window</t>
        </is>
      </c>
      <c r="B32" s="7" t="n">
        <v>12</v>
      </c>
      <c r="C32" t="inlineStr">
        <is>
          <t>bookings</t>
        </is>
      </c>
      <c r="D32" t="inlineStr">
        <is>
          <t>Total attributable completed bookings expected from each qualified Certified Partner over the measurement window.</t>
        </is>
      </c>
    </row>
    <row r="33">
      <c r="A33" t="inlineStr">
        <is>
          <t>Certified Partner booking qualification delay</t>
        </is>
      </c>
      <c r="B33" s="7" t="n">
        <v>2</v>
      </c>
      <c r="C33" t="inlineStr">
        <is>
          <t>months</t>
        </is>
      </c>
      <c r="D33" t="inlineStr">
        <is>
          <t>Months from a partner becoming active before it contributes to booking expectations.</t>
        </is>
      </c>
    </row>
    <row r="34">
      <c r="A34" t="inlineStr">
        <is>
          <t>Vendor / local campaign delivery cost</t>
        </is>
      </c>
      <c r="B34" s="6" t="n">
        <v>3500</v>
      </c>
      <c r="C34" t="inlineStr">
        <is>
          <t>per campaign</t>
        </is>
      </c>
      <c r="D34" t="inlineStr">
        <is>
          <t>Total incremental campaign cost: activation staff, permits, media, production, partner materials, and event delivery. Vendor contribution is modeled separately as revenue.</t>
        </is>
      </c>
    </row>
  </sheetData>
  <mergeCells count="1">
    <mergeCell ref="A1:D1"/>
  </mergeCells>
  <pageMargins left="0.7" right="0.7" top="0.75" bottom="0.75" header="0.3" footer="0.3"/>
</worksheet>
</file>

<file path=xl/worksheets/sheet3.xml><?xml version="1.0" encoding="utf-8"?>
<worksheet xmlns="http://schemas.openxmlformats.org/spreadsheetml/2006/main">
  <sheetPr>
    <tabColor rgb="FF3A7D44"/>
    <outlinePr summaryBelow="1" summaryRight="1"/>
    <pageSetUpPr/>
  </sheetPr>
  <dimension ref="A1:M47"/>
  <sheetViews>
    <sheetView showGridLines="0" workbookViewId="0">
      <pane xSplit="1" ySplit="4" topLeftCell="B5" activePane="bottomRight" state="frozen"/>
      <selection pane="topRight" activeCell="B1" sqref="B1"/>
      <selection pane="bottomLeft" activeCell="A5" sqref="A5"/>
      <selection pane="bottomRight" activeCell="A1" sqref="A1"/>
    </sheetView>
  </sheetViews>
  <sheetFormatPr baseColWidth="8" defaultRowHeight="15"/>
  <cols>
    <col width="40.7109375" customWidth="1" min="1" max="1"/>
    <col width="14.7109375" customWidth="1" min="2" max="13"/>
  </cols>
  <sheetData>
    <row r="1">
      <c r="A1" s="1" t="inlineStr">
        <is>
          <t>12-Month Founder-Led Cash Burn-Down</t>
        </is>
      </c>
    </row>
    <row r="2">
      <c r="A2" s="8" t="inlineStr">
        <is>
          <t>Yellow cells are timing or funding inputs. All other monthly values are formulas.</t>
        </is>
      </c>
    </row>
    <row r="4">
      <c r="A4" s="4" t="inlineStr">
        <is>
          <t>Driver / Cash Flow</t>
        </is>
      </c>
      <c r="B4" s="4" t="inlineStr">
        <is>
          <t>Month 1</t>
        </is>
      </c>
      <c r="C4" s="4" t="inlineStr">
        <is>
          <t>Month 2</t>
        </is>
      </c>
      <c r="D4" s="4" t="inlineStr">
        <is>
          <t>Month 3</t>
        </is>
      </c>
      <c r="E4" s="4" t="inlineStr">
        <is>
          <t>Month 4</t>
        </is>
      </c>
      <c r="F4" s="4" t="inlineStr">
        <is>
          <t>Month 5</t>
        </is>
      </c>
      <c r="G4" s="4" t="inlineStr">
        <is>
          <t>Month 6</t>
        </is>
      </c>
      <c r="H4" s="4" t="inlineStr">
        <is>
          <t>Month 7</t>
        </is>
      </c>
      <c r="I4" s="4" t="inlineStr">
        <is>
          <t>Month 8</t>
        </is>
      </c>
      <c r="J4" s="4" t="inlineStr">
        <is>
          <t>Month 9</t>
        </is>
      </c>
      <c r="K4" s="4" t="inlineStr">
        <is>
          <t>Month 10</t>
        </is>
      </c>
      <c r="L4" s="4" t="inlineStr">
        <is>
          <t>Month 11</t>
        </is>
      </c>
      <c r="M4" s="4" t="inlineStr">
        <is>
          <t>Month 12</t>
        </is>
      </c>
    </row>
    <row r="5">
      <c r="A5" s="5" t="inlineStr">
        <is>
          <t>Full repair-partner launches</t>
        </is>
      </c>
      <c r="B5" s="7" t="n">
        <v>0</v>
      </c>
      <c r="C5" s="7" t="n">
        <v>3</v>
      </c>
      <c r="D5" s="7" t="n">
        <v>2</v>
      </c>
      <c r="E5" s="7" t="n">
        <v>2</v>
      </c>
      <c r="F5" s="7" t="n">
        <v>1</v>
      </c>
      <c r="G5" s="7" t="n">
        <v>1</v>
      </c>
      <c r="H5" s="7" t="n">
        <v>1</v>
      </c>
      <c r="I5" s="7" t="n">
        <v>0</v>
      </c>
      <c r="J5" s="7" t="n">
        <v>0</v>
      </c>
      <c r="K5" s="7" t="n">
        <v>0</v>
      </c>
      <c r="L5" s="7" t="n">
        <v>0</v>
      </c>
      <c r="M5" s="7" t="n">
        <v>0</v>
      </c>
    </row>
    <row r="6">
      <c r="A6" s="5" t="inlineStr">
        <is>
          <t>Specialty / infrastructure launches</t>
        </is>
      </c>
      <c r="B6" s="7" t="n">
        <v>0</v>
      </c>
      <c r="C6" s="7" t="n">
        <v>0</v>
      </c>
      <c r="D6" s="7" t="n">
        <v>1</v>
      </c>
      <c r="E6" s="7" t="n">
        <v>1</v>
      </c>
      <c r="F6" s="7" t="n">
        <v>1</v>
      </c>
      <c r="G6" s="7" t="n">
        <v>1</v>
      </c>
      <c r="H6" s="7" t="n">
        <v>1</v>
      </c>
      <c r="I6" s="7" t="n">
        <v>0</v>
      </c>
      <c r="J6" s="7" t="n">
        <v>0</v>
      </c>
      <c r="K6" s="7" t="n">
        <v>0</v>
      </c>
      <c r="L6" s="7" t="n">
        <v>0</v>
      </c>
      <c r="M6" s="7" t="n">
        <v>0</v>
      </c>
    </row>
    <row r="7">
      <c r="A7" s="5" t="inlineStr">
        <is>
          <t>Active Certified Partners</t>
        </is>
      </c>
      <c r="B7" s="7" t="n">
        <v>0</v>
      </c>
      <c r="C7" s="7" t="n">
        <v>0</v>
      </c>
      <c r="D7" s="7" t="n">
        <v>0</v>
      </c>
      <c r="E7" s="7" t="n">
        <v>2</v>
      </c>
      <c r="F7" s="7" t="n">
        <v>4</v>
      </c>
      <c r="G7" s="7" t="n">
        <v>6</v>
      </c>
      <c r="H7" s="7" t="n">
        <v>8</v>
      </c>
      <c r="I7" s="7" t="n">
        <v>10</v>
      </c>
      <c r="J7" s="7" t="n">
        <v>10</v>
      </c>
      <c r="K7" s="7" t="n">
        <v>10</v>
      </c>
      <c r="L7" s="7" t="n">
        <v>10</v>
      </c>
      <c r="M7" s="7" t="n">
        <v>10</v>
      </c>
    </row>
    <row r="8">
      <c r="A8" s="5" t="inlineStr">
        <is>
          <t>Active Specialty / Infrastructure Partners</t>
        </is>
      </c>
      <c r="B8" s="7" t="n">
        <v>0</v>
      </c>
      <c r="C8" s="7" t="n">
        <v>0</v>
      </c>
      <c r="D8" s="7" t="n">
        <v>0</v>
      </c>
      <c r="E8" s="7" t="n">
        <v>2</v>
      </c>
      <c r="F8" s="7" t="n">
        <v>3</v>
      </c>
      <c r="G8" s="7" t="n">
        <v>4</v>
      </c>
      <c r="H8" s="7" t="n">
        <v>5</v>
      </c>
      <c r="I8" s="7" t="n">
        <v>5</v>
      </c>
      <c r="J8" s="7" t="n">
        <v>5</v>
      </c>
      <c r="K8" s="7" t="n">
        <v>5</v>
      </c>
      <c r="L8" s="7" t="n">
        <v>5</v>
      </c>
      <c r="M8" s="7" t="n">
        <v>5</v>
      </c>
    </row>
    <row r="9">
      <c r="A9" s="5" t="inlineStr">
        <is>
          <t>New annual members</t>
        </is>
      </c>
      <c r="B9" s="7" t="n">
        <v>0</v>
      </c>
      <c r="C9" s="7" t="n">
        <v>0</v>
      </c>
      <c r="D9" s="7" t="n">
        <v>25</v>
      </c>
      <c r="E9" s="7" t="n">
        <v>25</v>
      </c>
      <c r="F9" s="7" t="n">
        <v>30</v>
      </c>
      <c r="G9" s="7" t="n">
        <v>40</v>
      </c>
      <c r="H9" s="7" t="n">
        <v>50</v>
      </c>
      <c r="I9" s="7" t="n">
        <v>50</v>
      </c>
      <c r="J9" s="7" t="n">
        <v>50</v>
      </c>
      <c r="K9" s="7" t="n">
        <v>50</v>
      </c>
      <c r="L9" s="7" t="n">
        <v>40</v>
      </c>
      <c r="M9" s="7" t="n">
        <v>40</v>
      </c>
    </row>
    <row r="10">
      <c r="A10" s="5" t="inlineStr">
        <is>
          <t>Completed attributable bookings (formula)</t>
        </is>
      </c>
      <c r="B10" s="9">
        <f>IF(COLUMN()-1&lt;=Assumptions!$B$33,0,INDEX($B$7:$M$7,1,COLUMN()-1-Assumptions!$B$33)*Assumptions!$B$32/Assumptions!$B$31)</f>
        <v/>
      </c>
      <c r="C10" s="9">
        <f>IF(COLUMN()-1&lt;=Assumptions!$B$33,0,INDEX($B$7:$M$7,1,COLUMN()-1-Assumptions!$B$33)*Assumptions!$B$32/Assumptions!$B$31)</f>
        <v/>
      </c>
      <c r="D10" s="9">
        <f>IF(COLUMN()-1&lt;=Assumptions!$B$33,0,INDEX($B$7:$M$7,1,COLUMN()-1-Assumptions!$B$33)*Assumptions!$B$32/Assumptions!$B$31)</f>
        <v/>
      </c>
      <c r="E10" s="9">
        <f>IF(COLUMN()-1&lt;=Assumptions!$B$33,0,INDEX($B$7:$M$7,1,COLUMN()-1-Assumptions!$B$33)*Assumptions!$B$32/Assumptions!$B$31)</f>
        <v/>
      </c>
      <c r="F10" s="9">
        <f>IF(COLUMN()-1&lt;=Assumptions!$B$33,0,INDEX($B$7:$M$7,1,COLUMN()-1-Assumptions!$B$33)*Assumptions!$B$32/Assumptions!$B$31)</f>
        <v/>
      </c>
      <c r="G10" s="9">
        <f>IF(COLUMN()-1&lt;=Assumptions!$B$33,0,INDEX($B$7:$M$7,1,COLUMN()-1-Assumptions!$B$33)*Assumptions!$B$32/Assumptions!$B$31)</f>
        <v/>
      </c>
      <c r="H10" s="9">
        <f>IF(COLUMN()-1&lt;=Assumptions!$B$33,0,INDEX($B$7:$M$7,1,COLUMN()-1-Assumptions!$B$33)*Assumptions!$B$32/Assumptions!$B$31)</f>
        <v/>
      </c>
      <c r="I10" s="9">
        <f>IF(COLUMN()-1&lt;=Assumptions!$B$33,0,INDEX($B$7:$M$7,1,COLUMN()-1-Assumptions!$B$33)*Assumptions!$B$32/Assumptions!$B$31)</f>
        <v/>
      </c>
      <c r="J10" s="9">
        <f>IF(COLUMN()-1&lt;=Assumptions!$B$33,0,INDEX($B$7:$M$7,1,COLUMN()-1-Assumptions!$B$33)*Assumptions!$B$32/Assumptions!$B$31)</f>
        <v/>
      </c>
      <c r="K10" s="9">
        <f>IF(COLUMN()-1&lt;=Assumptions!$B$33,0,INDEX($B$7:$M$7,1,COLUMN()-1-Assumptions!$B$33)*Assumptions!$B$32/Assumptions!$B$31)</f>
        <v/>
      </c>
      <c r="L10" s="9">
        <f>IF(COLUMN()-1&lt;=Assumptions!$B$33,0,INDEX($B$7:$M$7,1,COLUMN()-1-Assumptions!$B$33)*Assumptions!$B$32/Assumptions!$B$31)</f>
        <v/>
      </c>
      <c r="M10" s="9">
        <f>IF(COLUMN()-1&lt;=Assumptions!$B$33,0,INDEX($B$7:$M$7,1,COLUMN()-1-Assumptions!$B$33)*Assumptions!$B$32/Assumptions!$B$31)</f>
        <v/>
      </c>
    </row>
    <row r="11">
      <c r="A11" s="5" t="inlineStr">
        <is>
          <t>Vendor / local campaigns</t>
        </is>
      </c>
      <c r="B11" s="7" t="n">
        <v>0</v>
      </c>
      <c r="C11" s="7" t="n">
        <v>0</v>
      </c>
      <c r="D11" s="7" t="n">
        <v>0</v>
      </c>
      <c r="E11" s="7" t="n">
        <v>0</v>
      </c>
      <c r="F11" s="7" t="n">
        <v>0</v>
      </c>
      <c r="G11" s="7" t="n">
        <v>1</v>
      </c>
      <c r="H11" s="7" t="n">
        <v>0</v>
      </c>
      <c r="I11" s="7" t="n">
        <v>0</v>
      </c>
      <c r="J11" s="7" t="n">
        <v>0</v>
      </c>
      <c r="K11" s="7" t="n">
        <v>1</v>
      </c>
      <c r="L11" s="7" t="n">
        <v>0</v>
      </c>
      <c r="M11" s="7" t="n">
        <v>0</v>
      </c>
    </row>
    <row r="12">
      <c r="A12" s="5" t="inlineStr">
        <is>
          <t>Legal / compliance payment schedule</t>
        </is>
      </c>
      <c r="B12" s="6" t="n">
        <v>0</v>
      </c>
      <c r="C12" s="6" t="n">
        <v>0</v>
      </c>
      <c r="D12" s="6" t="n">
        <v>4000</v>
      </c>
      <c r="E12" s="6" t="n">
        <v>6000</v>
      </c>
      <c r="F12" s="6" t="n">
        <v>8000</v>
      </c>
      <c r="G12" s="6" t="n">
        <v>8000</v>
      </c>
      <c r="H12" s="6" t="n">
        <v>2000</v>
      </c>
      <c r="I12" s="6" t="n">
        <v>0</v>
      </c>
      <c r="J12" s="6" t="n">
        <v>2000</v>
      </c>
      <c r="K12" s="6" t="n">
        <v>0</v>
      </c>
      <c r="L12" s="6" t="n">
        <v>0</v>
      </c>
      <c r="M12" s="6" t="n">
        <v>0</v>
      </c>
    </row>
    <row r="13">
      <c r="A13" s="5" t="inlineStr">
        <is>
          <t>Equipment / initial production payment schedule</t>
        </is>
      </c>
      <c r="B13" s="6" t="n">
        <v>0</v>
      </c>
      <c r="C13" s="6" t="n">
        <v>0</v>
      </c>
      <c r="D13" s="6" t="n">
        <v>0</v>
      </c>
      <c r="E13" s="6" t="n">
        <v>0</v>
      </c>
      <c r="F13" s="6" t="n">
        <v>5000</v>
      </c>
      <c r="G13" s="6" t="n">
        <v>5000</v>
      </c>
      <c r="H13" s="6" t="n">
        <v>0</v>
      </c>
      <c r="I13" s="6" t="n">
        <v>0</v>
      </c>
      <c r="J13" s="6" t="n">
        <v>0</v>
      </c>
      <c r="K13" s="6" t="n">
        <v>0</v>
      </c>
      <c r="L13" s="6" t="n">
        <v>0</v>
      </c>
      <c r="M13" s="6" t="n">
        <v>0</v>
      </c>
    </row>
    <row r="14">
      <c r="A14" s="5" t="inlineStr">
        <is>
          <t>External funding draw: debt / investment / founder</t>
        </is>
      </c>
      <c r="B14" s="6" t="n">
        <v>0</v>
      </c>
      <c r="C14" s="6" t="n">
        <v>0</v>
      </c>
      <c r="D14" s="6" t="n">
        <v>0</v>
      </c>
      <c r="E14" s="6" t="n">
        <v>0</v>
      </c>
      <c r="F14" s="6" t="n">
        <v>0</v>
      </c>
      <c r="G14" s="6" t="n">
        <v>0</v>
      </c>
      <c r="H14" s="6" t="n">
        <v>0</v>
      </c>
      <c r="I14" s="6" t="n">
        <v>0</v>
      </c>
      <c r="J14" s="6" t="n">
        <v>0</v>
      </c>
      <c r="K14" s="6" t="n">
        <v>0</v>
      </c>
      <c r="L14" s="6" t="n">
        <v>0</v>
      </c>
      <c r="M14" s="6" t="n">
        <v>0</v>
      </c>
    </row>
    <row r="16">
      <c r="A16" s="2" t="inlineStr">
        <is>
          <t>Revenue</t>
        </is>
      </c>
    </row>
    <row r="17">
      <c r="A17" s="5" t="inlineStr">
        <is>
          <t>Full partner-launch fees</t>
        </is>
      </c>
      <c r="B17" s="9">
        <f>B5*Assumptions!$B$19</f>
        <v/>
      </c>
      <c r="C17" s="9">
        <f>C5*Assumptions!$B$19</f>
        <v/>
      </c>
      <c r="D17" s="9">
        <f>D5*Assumptions!$B$19</f>
        <v/>
      </c>
      <c r="E17" s="9">
        <f>E5*Assumptions!$B$19</f>
        <v/>
      </c>
      <c r="F17" s="9">
        <f>F5*Assumptions!$B$19</f>
        <v/>
      </c>
      <c r="G17" s="9">
        <f>G5*Assumptions!$B$19</f>
        <v/>
      </c>
      <c r="H17" s="9">
        <f>H5*Assumptions!$B$19</f>
        <v/>
      </c>
      <c r="I17" s="9">
        <f>I5*Assumptions!$B$19</f>
        <v/>
      </c>
      <c r="J17" s="9">
        <f>J5*Assumptions!$B$19</f>
        <v/>
      </c>
      <c r="K17" s="9">
        <f>K5*Assumptions!$B$19</f>
        <v/>
      </c>
      <c r="L17" s="9">
        <f>L5*Assumptions!$B$19</f>
        <v/>
      </c>
      <c r="M17" s="9">
        <f>M5*Assumptions!$B$19</f>
        <v/>
      </c>
    </row>
    <row r="18">
      <c r="A18" s="5" t="inlineStr">
        <is>
          <t>Specialty/infrastructure launch fees</t>
        </is>
      </c>
      <c r="B18" s="9">
        <f>B6*Assumptions!$B$20</f>
        <v/>
      </c>
      <c r="C18" s="9">
        <f>C6*Assumptions!$B$20</f>
        <v/>
      </c>
      <c r="D18" s="9">
        <f>D6*Assumptions!$B$20</f>
        <v/>
      </c>
      <c r="E18" s="9">
        <f>E6*Assumptions!$B$20</f>
        <v/>
      </c>
      <c r="F18" s="9">
        <f>F6*Assumptions!$B$20</f>
        <v/>
      </c>
      <c r="G18" s="9">
        <f>G6*Assumptions!$B$20</f>
        <v/>
      </c>
      <c r="H18" s="9">
        <f>H6*Assumptions!$B$20</f>
        <v/>
      </c>
      <c r="I18" s="9">
        <f>I6*Assumptions!$B$20</f>
        <v/>
      </c>
      <c r="J18" s="9">
        <f>J6*Assumptions!$B$20</f>
        <v/>
      </c>
      <c r="K18" s="9">
        <f>K6*Assumptions!$B$20</f>
        <v/>
      </c>
      <c r="L18" s="9">
        <f>L6*Assumptions!$B$20</f>
        <v/>
      </c>
      <c r="M18" s="9">
        <f>M6*Assumptions!$B$20</f>
        <v/>
      </c>
    </row>
    <row r="19">
      <c r="A19" s="5" t="inlineStr">
        <is>
          <t>Certified Partner memberships</t>
        </is>
      </c>
      <c r="B19" s="9">
        <f>B7*Assumptions!$B$21</f>
        <v/>
      </c>
      <c r="C19" s="9">
        <f>C7*Assumptions!$B$21</f>
        <v/>
      </c>
      <c r="D19" s="9">
        <f>D7*Assumptions!$B$21</f>
        <v/>
      </c>
      <c r="E19" s="9">
        <f>E7*Assumptions!$B$21</f>
        <v/>
      </c>
      <c r="F19" s="9">
        <f>F7*Assumptions!$B$21</f>
        <v/>
      </c>
      <c r="G19" s="9">
        <f>G7*Assumptions!$B$21</f>
        <v/>
      </c>
      <c r="H19" s="9">
        <f>H7*Assumptions!$B$21</f>
        <v/>
      </c>
      <c r="I19" s="9">
        <f>I7*Assumptions!$B$21</f>
        <v/>
      </c>
      <c r="J19" s="9">
        <f>J7*Assumptions!$B$21</f>
        <v/>
      </c>
      <c r="K19" s="9">
        <f>K7*Assumptions!$B$21</f>
        <v/>
      </c>
      <c r="L19" s="9">
        <f>L7*Assumptions!$B$21</f>
        <v/>
      </c>
      <c r="M19" s="9">
        <f>M7*Assumptions!$B$21</f>
        <v/>
      </c>
    </row>
    <row r="20">
      <c r="A20" s="5" t="inlineStr">
        <is>
          <t>Specialty/infrastructure memberships</t>
        </is>
      </c>
      <c r="B20" s="9">
        <f>B8*Assumptions!$B$22</f>
        <v/>
      </c>
      <c r="C20" s="9">
        <f>C8*Assumptions!$B$22</f>
        <v/>
      </c>
      <c r="D20" s="9">
        <f>D8*Assumptions!$B$22</f>
        <v/>
      </c>
      <c r="E20" s="9">
        <f>E8*Assumptions!$B$22</f>
        <v/>
      </c>
      <c r="F20" s="9">
        <f>F8*Assumptions!$B$22</f>
        <v/>
      </c>
      <c r="G20" s="9">
        <f>G8*Assumptions!$B$22</f>
        <v/>
      </c>
      <c r="H20" s="9">
        <f>H8*Assumptions!$B$22</f>
        <v/>
      </c>
      <c r="I20" s="9">
        <f>I8*Assumptions!$B$22</f>
        <v/>
      </c>
      <c r="J20" s="9">
        <f>J8*Assumptions!$B$22</f>
        <v/>
      </c>
      <c r="K20" s="9">
        <f>K8*Assumptions!$B$22</f>
        <v/>
      </c>
      <c r="L20" s="9">
        <f>L8*Assumptions!$B$22</f>
        <v/>
      </c>
      <c r="M20" s="9">
        <f>M8*Assumptions!$B$22</f>
        <v/>
      </c>
    </row>
    <row r="21">
      <c r="A21" s="5" t="inlineStr">
        <is>
          <t>Annual consumer memberships</t>
        </is>
      </c>
      <c r="B21" s="9">
        <f>B9*Assumptions!$B$23</f>
        <v/>
      </c>
      <c r="C21" s="9">
        <f>C9*Assumptions!$B$23</f>
        <v/>
      </c>
      <c r="D21" s="9">
        <f>D9*Assumptions!$B$23</f>
        <v/>
      </c>
      <c r="E21" s="9">
        <f>E9*Assumptions!$B$23</f>
        <v/>
      </c>
      <c r="F21" s="9">
        <f>F9*Assumptions!$B$23</f>
        <v/>
      </c>
      <c r="G21" s="9">
        <f>G9*Assumptions!$B$23</f>
        <v/>
      </c>
      <c r="H21" s="9">
        <f>H9*Assumptions!$B$23</f>
        <v/>
      </c>
      <c r="I21" s="9">
        <f>I9*Assumptions!$B$23</f>
        <v/>
      </c>
      <c r="J21" s="9">
        <f>J9*Assumptions!$B$23</f>
        <v/>
      </c>
      <c r="K21" s="9">
        <f>K9*Assumptions!$B$23</f>
        <v/>
      </c>
      <c r="L21" s="9">
        <f>L9*Assumptions!$B$23</f>
        <v/>
      </c>
      <c r="M21" s="9">
        <f>M9*Assumptions!$B$23</f>
        <v/>
      </c>
    </row>
    <row r="22">
      <c r="A22" s="5" t="inlineStr">
        <is>
          <t>Completed-booking fees</t>
        </is>
      </c>
      <c r="B22" s="9">
        <f>B10*Assumptions!$B$24</f>
        <v/>
      </c>
      <c r="C22" s="9">
        <f>C10*Assumptions!$B$24</f>
        <v/>
      </c>
      <c r="D22" s="9">
        <f>D10*Assumptions!$B$24</f>
        <v/>
      </c>
      <c r="E22" s="9">
        <f>E10*Assumptions!$B$24</f>
        <v/>
      </c>
      <c r="F22" s="9">
        <f>F10*Assumptions!$B$24</f>
        <v/>
      </c>
      <c r="G22" s="9">
        <f>G10*Assumptions!$B$24</f>
        <v/>
      </c>
      <c r="H22" s="9">
        <f>H10*Assumptions!$B$24</f>
        <v/>
      </c>
      <c r="I22" s="9">
        <f>I10*Assumptions!$B$24</f>
        <v/>
      </c>
      <c r="J22" s="9">
        <f>J10*Assumptions!$B$24</f>
        <v/>
      </c>
      <c r="K22" s="9">
        <f>K10*Assumptions!$B$24</f>
        <v/>
      </c>
      <c r="L22" s="9">
        <f>L10*Assumptions!$B$24</f>
        <v/>
      </c>
      <c r="M22" s="9">
        <f>M10*Assumptions!$B$24</f>
        <v/>
      </c>
    </row>
    <row r="23">
      <c r="A23" s="5" t="inlineStr">
        <is>
          <t>Vendor / campaign contributions</t>
        </is>
      </c>
      <c r="B23" s="9">
        <f>B11*Assumptions!$B$25</f>
        <v/>
      </c>
      <c r="C23" s="9">
        <f>C11*Assumptions!$B$25</f>
        <v/>
      </c>
      <c r="D23" s="9">
        <f>D11*Assumptions!$B$25</f>
        <v/>
      </c>
      <c r="E23" s="9">
        <f>E11*Assumptions!$B$25</f>
        <v/>
      </c>
      <c r="F23" s="9">
        <f>F11*Assumptions!$B$25</f>
        <v/>
      </c>
      <c r="G23" s="9">
        <f>G11*Assumptions!$B$25</f>
        <v/>
      </c>
      <c r="H23" s="9">
        <f>H11*Assumptions!$B$25</f>
        <v/>
      </c>
      <c r="I23" s="9">
        <f>I11*Assumptions!$B$25</f>
        <v/>
      </c>
      <c r="J23" s="9">
        <f>J11*Assumptions!$B$25</f>
        <v/>
      </c>
      <c r="K23" s="9">
        <f>K11*Assumptions!$B$25</f>
        <v/>
      </c>
      <c r="L23" s="9">
        <f>L11*Assumptions!$B$25</f>
        <v/>
      </c>
      <c r="M23" s="9">
        <f>M11*Assumptions!$B$25</f>
        <v/>
      </c>
    </row>
    <row r="24">
      <c r="A24" s="5" t="inlineStr">
        <is>
          <t>Managed-service contribution</t>
        </is>
      </c>
      <c r="B24" s="9">
        <f>Assumptions!$B$28</f>
        <v/>
      </c>
      <c r="C24" s="9">
        <f>Assumptions!$B$28</f>
        <v/>
      </c>
      <c r="D24" s="9">
        <f>Assumptions!$B$28</f>
        <v/>
      </c>
      <c r="E24" s="9">
        <f>Assumptions!$B$28</f>
        <v/>
      </c>
      <c r="F24" s="9">
        <f>Assumptions!$B$28</f>
        <v/>
      </c>
      <c r="G24" s="9">
        <f>Assumptions!$B$28</f>
        <v/>
      </c>
      <c r="H24" s="9">
        <f>Assumptions!$B$28</f>
        <v/>
      </c>
      <c r="I24" s="9">
        <f>Assumptions!$B$28</f>
        <v/>
      </c>
      <c r="J24" s="9">
        <f>Assumptions!$B$28</f>
        <v/>
      </c>
      <c r="K24" s="9">
        <f>Assumptions!$B$28</f>
        <v/>
      </c>
      <c r="L24" s="9">
        <f>Assumptions!$B$28</f>
        <v/>
      </c>
      <c r="M24" s="9">
        <f>Assumptions!$B$28</f>
        <v/>
      </c>
    </row>
    <row r="25">
      <c r="A25" s="5" t="inlineStr">
        <is>
          <t>Expert-work contribution</t>
        </is>
      </c>
      <c r="B25" s="9">
        <f>Assumptions!$B$29</f>
        <v/>
      </c>
      <c r="C25" s="9">
        <f>Assumptions!$B$29</f>
        <v/>
      </c>
      <c r="D25" s="9">
        <f>Assumptions!$B$29</f>
        <v/>
      </c>
      <c r="E25" s="9">
        <f>Assumptions!$B$29</f>
        <v/>
      </c>
      <c r="F25" s="9">
        <f>Assumptions!$B$29</f>
        <v/>
      </c>
      <c r="G25" s="9">
        <f>Assumptions!$B$29</f>
        <v/>
      </c>
      <c r="H25" s="9">
        <f>Assumptions!$B$29</f>
        <v/>
      </c>
      <c r="I25" s="9">
        <f>Assumptions!$B$29</f>
        <v/>
      </c>
      <c r="J25" s="9">
        <f>Assumptions!$B$29</f>
        <v/>
      </c>
      <c r="K25" s="9">
        <f>Assumptions!$B$29</f>
        <v/>
      </c>
      <c r="L25" s="9">
        <f>Assumptions!$B$29</f>
        <v/>
      </c>
      <c r="M25" s="9">
        <f>Assumptions!$B$29</f>
        <v/>
      </c>
    </row>
    <row r="26">
      <c r="A26" s="2" t="inlineStr">
        <is>
          <t>Total revenue</t>
        </is>
      </c>
      <c r="B26" s="9">
        <f>SUM(B17:B25)</f>
        <v/>
      </c>
      <c r="C26" s="9">
        <f>SUM(C17:C25)</f>
        <v/>
      </c>
      <c r="D26" s="9">
        <f>SUM(D17:D25)</f>
        <v/>
      </c>
      <c r="E26" s="9">
        <f>SUM(E17:E25)</f>
        <v/>
      </c>
      <c r="F26" s="9">
        <f>SUM(F17:F25)</f>
        <v/>
      </c>
      <c r="G26" s="9">
        <f>SUM(G17:G25)</f>
        <v/>
      </c>
      <c r="H26" s="9">
        <f>SUM(H17:H25)</f>
        <v/>
      </c>
      <c r="I26" s="9">
        <f>SUM(I17:I25)</f>
        <v/>
      </c>
      <c r="J26" s="9">
        <f>SUM(J17:J25)</f>
        <v/>
      </c>
      <c r="K26" s="9">
        <f>SUM(K17:K25)</f>
        <v/>
      </c>
      <c r="L26" s="9">
        <f>SUM(L17:L25)</f>
        <v/>
      </c>
      <c r="M26" s="9">
        <f>SUM(M17:M25)</f>
        <v/>
      </c>
    </row>
    <row r="28">
      <c r="A28" s="2" t="inlineStr">
        <is>
          <t>Cash operating expenses</t>
        </is>
      </c>
    </row>
    <row r="29">
      <c r="A29" s="5" t="inlineStr">
        <is>
          <t>Founder / operations</t>
        </is>
      </c>
      <c r="B29" s="9">
        <f>IF(COLUMN()-1&gt;=Assumptions!$B$5,Assumptions!$B$4,0)</f>
        <v/>
      </c>
      <c r="C29" s="9">
        <f>IF(COLUMN()-1&gt;=Assumptions!$B$5,Assumptions!$B$4,0)</f>
        <v/>
      </c>
      <c r="D29" s="9">
        <f>IF(COLUMN()-1&gt;=Assumptions!$B$5,Assumptions!$B$4,0)</f>
        <v/>
      </c>
      <c r="E29" s="9">
        <f>IF(COLUMN()-1&gt;=Assumptions!$B$5,Assumptions!$B$4,0)</f>
        <v/>
      </c>
      <c r="F29" s="9">
        <f>IF(COLUMN()-1&gt;=Assumptions!$B$5,Assumptions!$B$4,0)</f>
        <v/>
      </c>
      <c r="G29" s="9">
        <f>IF(COLUMN()-1&gt;=Assumptions!$B$5,Assumptions!$B$4,0)</f>
        <v/>
      </c>
      <c r="H29" s="9">
        <f>IF(COLUMN()-1&gt;=Assumptions!$B$5,Assumptions!$B$4,0)</f>
        <v/>
      </c>
      <c r="I29" s="9">
        <f>IF(COLUMN()-1&gt;=Assumptions!$B$5,Assumptions!$B$4,0)</f>
        <v/>
      </c>
      <c r="J29" s="9">
        <f>IF(COLUMN()-1&gt;=Assumptions!$B$5,Assumptions!$B$4,0)</f>
        <v/>
      </c>
      <c r="K29" s="9">
        <f>IF(COLUMN()-1&gt;=Assumptions!$B$5,Assumptions!$B$4,0)</f>
        <v/>
      </c>
      <c r="L29" s="9">
        <f>IF(COLUMN()-1&gt;=Assumptions!$B$5,Assumptions!$B$4,0)</f>
        <v/>
      </c>
      <c r="M29" s="9">
        <f>IF(COLUMN()-1&gt;=Assumptions!$B$5,Assumptions!$B$4,0)</f>
        <v/>
      </c>
    </row>
    <row r="30">
      <c r="A30" s="5" t="inlineStr">
        <is>
          <t>Engineering / product</t>
        </is>
      </c>
      <c r="B30" s="9">
        <f>IF(COLUMN()-1&gt;=Assumptions!$B$7,Assumptions!$B$6,0)</f>
        <v/>
      </c>
      <c r="C30" s="9">
        <f>IF(COLUMN()-1&gt;=Assumptions!$B$7,Assumptions!$B$6,0)</f>
        <v/>
      </c>
      <c r="D30" s="9">
        <f>IF(COLUMN()-1&gt;=Assumptions!$B$7,Assumptions!$B$6,0)</f>
        <v/>
      </c>
      <c r="E30" s="9">
        <f>IF(COLUMN()-1&gt;=Assumptions!$B$7,Assumptions!$B$6,0)</f>
        <v/>
      </c>
      <c r="F30" s="9">
        <f>IF(COLUMN()-1&gt;=Assumptions!$B$7,Assumptions!$B$6,0)</f>
        <v/>
      </c>
      <c r="G30" s="9">
        <f>IF(COLUMN()-1&gt;=Assumptions!$B$7,Assumptions!$B$6,0)</f>
        <v/>
      </c>
      <c r="H30" s="9">
        <f>IF(COLUMN()-1&gt;=Assumptions!$B$7,Assumptions!$B$6,0)</f>
        <v/>
      </c>
      <c r="I30" s="9">
        <f>IF(COLUMN()-1&gt;=Assumptions!$B$7,Assumptions!$B$6,0)</f>
        <v/>
      </c>
      <c r="J30" s="9">
        <f>IF(COLUMN()-1&gt;=Assumptions!$B$7,Assumptions!$B$6,0)</f>
        <v/>
      </c>
      <c r="K30" s="9">
        <f>IF(COLUMN()-1&gt;=Assumptions!$B$7,Assumptions!$B$6,0)</f>
        <v/>
      </c>
      <c r="L30" s="9">
        <f>IF(COLUMN()-1&gt;=Assumptions!$B$7,Assumptions!$B$6,0)</f>
        <v/>
      </c>
      <c r="M30" s="9">
        <f>IF(COLUMN()-1&gt;=Assumptions!$B$7,Assumptions!$B$6,0)</f>
        <v/>
      </c>
    </row>
    <row r="31">
      <c r="A31" s="5" t="inlineStr">
        <is>
          <t>Content / social</t>
        </is>
      </c>
      <c r="B31" s="9">
        <f>IF(COLUMN()-1&gt;=Assumptions!$B$9,Assumptions!$B$8,0)</f>
        <v/>
      </c>
      <c r="C31" s="9">
        <f>IF(COLUMN()-1&gt;=Assumptions!$B$9,Assumptions!$B$8,0)</f>
        <v/>
      </c>
      <c r="D31" s="9">
        <f>IF(COLUMN()-1&gt;=Assumptions!$B$9,Assumptions!$B$8,0)</f>
        <v/>
      </c>
      <c r="E31" s="9">
        <f>IF(COLUMN()-1&gt;=Assumptions!$B$9,Assumptions!$B$8,0)</f>
        <v/>
      </c>
      <c r="F31" s="9">
        <f>IF(COLUMN()-1&gt;=Assumptions!$B$9,Assumptions!$B$8,0)</f>
        <v/>
      </c>
      <c r="G31" s="9">
        <f>IF(COLUMN()-1&gt;=Assumptions!$B$9,Assumptions!$B$8,0)</f>
        <v/>
      </c>
      <c r="H31" s="9">
        <f>IF(COLUMN()-1&gt;=Assumptions!$B$9,Assumptions!$B$8,0)</f>
        <v/>
      </c>
      <c r="I31" s="9">
        <f>IF(COLUMN()-1&gt;=Assumptions!$B$9,Assumptions!$B$8,0)</f>
        <v/>
      </c>
      <c r="J31" s="9">
        <f>IF(COLUMN()-1&gt;=Assumptions!$B$9,Assumptions!$B$8,0)</f>
        <v/>
      </c>
      <c r="K31" s="9">
        <f>IF(COLUMN()-1&gt;=Assumptions!$B$9,Assumptions!$B$8,0)</f>
        <v/>
      </c>
      <c r="L31" s="9">
        <f>IF(COLUMN()-1&gt;=Assumptions!$B$9,Assumptions!$B$8,0)</f>
        <v/>
      </c>
      <c r="M31" s="9">
        <f>IF(COLUMN()-1&gt;=Assumptions!$B$9,Assumptions!$B$8,0)</f>
        <v/>
      </c>
    </row>
    <row r="32">
      <c r="A32" s="5" t="inlineStr">
        <is>
          <t>Software / payments / data</t>
        </is>
      </c>
      <c r="B32" s="9">
        <f>IF(COLUMN()-1&gt;=Assumptions!$B$11,Assumptions!$B$10,0)</f>
        <v/>
      </c>
      <c r="C32" s="9">
        <f>IF(COLUMN()-1&gt;=Assumptions!$B$11,Assumptions!$B$10,0)</f>
        <v/>
      </c>
      <c r="D32" s="9">
        <f>IF(COLUMN()-1&gt;=Assumptions!$B$11,Assumptions!$B$10,0)</f>
        <v/>
      </c>
      <c r="E32" s="9">
        <f>IF(COLUMN()-1&gt;=Assumptions!$B$11,Assumptions!$B$10,0)</f>
        <v/>
      </c>
      <c r="F32" s="9">
        <f>IF(COLUMN()-1&gt;=Assumptions!$B$11,Assumptions!$B$10,0)</f>
        <v/>
      </c>
      <c r="G32" s="9">
        <f>IF(COLUMN()-1&gt;=Assumptions!$B$11,Assumptions!$B$10,0)</f>
        <v/>
      </c>
      <c r="H32" s="9">
        <f>IF(COLUMN()-1&gt;=Assumptions!$B$11,Assumptions!$B$10,0)</f>
        <v/>
      </c>
      <c r="I32" s="9">
        <f>IF(COLUMN()-1&gt;=Assumptions!$B$11,Assumptions!$B$10,0)</f>
        <v/>
      </c>
      <c r="J32" s="9">
        <f>IF(COLUMN()-1&gt;=Assumptions!$B$11,Assumptions!$B$10,0)</f>
        <v/>
      </c>
      <c r="K32" s="9">
        <f>IF(COLUMN()-1&gt;=Assumptions!$B$11,Assumptions!$B$10,0)</f>
        <v/>
      </c>
      <c r="L32" s="9">
        <f>IF(COLUMN()-1&gt;=Assumptions!$B$11,Assumptions!$B$10,0)</f>
        <v/>
      </c>
      <c r="M32" s="9">
        <f>IF(COLUMN()-1&gt;=Assumptions!$B$11,Assumptions!$B$10,0)</f>
        <v/>
      </c>
    </row>
    <row r="33">
      <c r="A33" s="5" t="inlineStr">
        <is>
          <t>Marketing / events</t>
        </is>
      </c>
      <c r="B33" s="9">
        <f>IF(COLUMN()-1&gt;=Assumptions!$B$13,Assumptions!$B$12,0)</f>
        <v/>
      </c>
      <c r="C33" s="9">
        <f>IF(COLUMN()-1&gt;=Assumptions!$B$13,Assumptions!$B$12,0)</f>
        <v/>
      </c>
      <c r="D33" s="9">
        <f>IF(COLUMN()-1&gt;=Assumptions!$B$13,Assumptions!$B$12,0)</f>
        <v/>
      </c>
      <c r="E33" s="9">
        <f>IF(COLUMN()-1&gt;=Assumptions!$B$13,Assumptions!$B$12,0)</f>
        <v/>
      </c>
      <c r="F33" s="9">
        <f>IF(COLUMN()-1&gt;=Assumptions!$B$13,Assumptions!$B$12,0)</f>
        <v/>
      </c>
      <c r="G33" s="9">
        <f>IF(COLUMN()-1&gt;=Assumptions!$B$13,Assumptions!$B$12,0)</f>
        <v/>
      </c>
      <c r="H33" s="9">
        <f>IF(COLUMN()-1&gt;=Assumptions!$B$13,Assumptions!$B$12,0)</f>
        <v/>
      </c>
      <c r="I33" s="9">
        <f>IF(COLUMN()-1&gt;=Assumptions!$B$13,Assumptions!$B$12,0)</f>
        <v/>
      </c>
      <c r="J33" s="9">
        <f>IF(COLUMN()-1&gt;=Assumptions!$B$13,Assumptions!$B$12,0)</f>
        <v/>
      </c>
      <c r="K33" s="9">
        <f>IF(COLUMN()-1&gt;=Assumptions!$B$13,Assumptions!$B$12,0)</f>
        <v/>
      </c>
      <c r="L33" s="9">
        <f>IF(COLUMN()-1&gt;=Assumptions!$B$13,Assumptions!$B$12,0)</f>
        <v/>
      </c>
      <c r="M33" s="9">
        <f>IF(COLUMN()-1&gt;=Assumptions!$B$13,Assumptions!$B$12,0)</f>
        <v/>
      </c>
    </row>
    <row r="34">
      <c r="A34" s="5" t="inlineStr">
        <is>
          <t>Premises branding / place-based media</t>
        </is>
      </c>
      <c r="B34" s="9">
        <f>IF(COLUMN()-1&gt;=Assumptions!$B$15,Assumptions!$B$14,0)</f>
        <v/>
      </c>
      <c r="C34" s="9">
        <f>IF(COLUMN()-1&gt;=Assumptions!$B$15,Assumptions!$B$14,0)</f>
        <v/>
      </c>
      <c r="D34" s="9">
        <f>IF(COLUMN()-1&gt;=Assumptions!$B$15,Assumptions!$B$14,0)</f>
        <v/>
      </c>
      <c r="E34" s="9">
        <f>IF(COLUMN()-1&gt;=Assumptions!$B$15,Assumptions!$B$14,0)</f>
        <v/>
      </c>
      <c r="F34" s="9">
        <f>IF(COLUMN()-1&gt;=Assumptions!$B$15,Assumptions!$B$14,0)</f>
        <v/>
      </c>
      <c r="G34" s="9">
        <f>IF(COLUMN()-1&gt;=Assumptions!$B$15,Assumptions!$B$14,0)</f>
        <v/>
      </c>
      <c r="H34" s="9">
        <f>IF(COLUMN()-1&gt;=Assumptions!$B$15,Assumptions!$B$14,0)</f>
        <v/>
      </c>
      <c r="I34" s="9">
        <f>IF(COLUMN()-1&gt;=Assumptions!$B$15,Assumptions!$B$14,0)</f>
        <v/>
      </c>
      <c r="J34" s="9">
        <f>IF(COLUMN()-1&gt;=Assumptions!$B$15,Assumptions!$B$14,0)</f>
        <v/>
      </c>
      <c r="K34" s="9">
        <f>IF(COLUMN()-1&gt;=Assumptions!$B$15,Assumptions!$B$14,0)</f>
        <v/>
      </c>
      <c r="L34" s="9">
        <f>IF(COLUMN()-1&gt;=Assumptions!$B$15,Assumptions!$B$14,0)</f>
        <v/>
      </c>
      <c r="M34" s="9">
        <f>IF(COLUMN()-1&gt;=Assumptions!$B$15,Assumptions!$B$14,0)</f>
        <v/>
      </c>
    </row>
    <row r="35">
      <c r="A35" s="5" t="inlineStr">
        <is>
          <t>Connected Garage pilot</t>
        </is>
      </c>
      <c r="B35" s="9">
        <f>IF(COLUMN()-1&gt;=Assumptions!$B$17,Assumptions!$B$16,0)</f>
        <v/>
      </c>
      <c r="C35" s="9">
        <f>IF(COLUMN()-1&gt;=Assumptions!$B$17,Assumptions!$B$16,0)</f>
        <v/>
      </c>
      <c r="D35" s="9">
        <f>IF(COLUMN()-1&gt;=Assumptions!$B$17,Assumptions!$B$16,0)</f>
        <v/>
      </c>
      <c r="E35" s="9">
        <f>IF(COLUMN()-1&gt;=Assumptions!$B$17,Assumptions!$B$16,0)</f>
        <v/>
      </c>
      <c r="F35" s="9">
        <f>IF(COLUMN()-1&gt;=Assumptions!$B$17,Assumptions!$B$16,0)</f>
        <v/>
      </c>
      <c r="G35" s="9">
        <f>IF(COLUMN()-1&gt;=Assumptions!$B$17,Assumptions!$B$16,0)</f>
        <v/>
      </c>
      <c r="H35" s="9">
        <f>IF(COLUMN()-1&gt;=Assumptions!$B$17,Assumptions!$B$16,0)</f>
        <v/>
      </c>
      <c r="I35" s="9">
        <f>IF(COLUMN()-1&gt;=Assumptions!$B$17,Assumptions!$B$16,0)</f>
        <v/>
      </c>
      <c r="J35" s="9">
        <f>IF(COLUMN()-1&gt;=Assumptions!$B$17,Assumptions!$B$16,0)</f>
        <v/>
      </c>
      <c r="K35" s="9">
        <f>IF(COLUMN()-1&gt;=Assumptions!$B$17,Assumptions!$B$16,0)</f>
        <v/>
      </c>
      <c r="L35" s="9">
        <f>IF(COLUMN()-1&gt;=Assumptions!$B$17,Assumptions!$B$16,0)</f>
        <v/>
      </c>
      <c r="M35" s="9">
        <f>IF(COLUMN()-1&gt;=Assumptions!$B$17,Assumptions!$B$16,0)</f>
        <v/>
      </c>
    </row>
    <row r="36">
      <c r="A36" s="5" t="inlineStr">
        <is>
          <t>Legal / compliance</t>
        </is>
      </c>
      <c r="B36" s="9">
        <f>B12</f>
        <v/>
      </c>
      <c r="C36" s="9">
        <f>C12</f>
        <v/>
      </c>
      <c r="D36" s="9">
        <f>D12</f>
        <v/>
      </c>
      <c r="E36" s="9">
        <f>E12</f>
        <v/>
      </c>
      <c r="F36" s="9">
        <f>F12</f>
        <v/>
      </c>
      <c r="G36" s="9">
        <f>G12</f>
        <v/>
      </c>
      <c r="H36" s="9">
        <f>H12</f>
        <v/>
      </c>
      <c r="I36" s="9">
        <f>I12</f>
        <v/>
      </c>
      <c r="J36" s="9">
        <f>J12</f>
        <v/>
      </c>
      <c r="K36" s="9">
        <f>K12</f>
        <v/>
      </c>
      <c r="L36" s="9">
        <f>L12</f>
        <v/>
      </c>
      <c r="M36" s="9">
        <f>M12</f>
        <v/>
      </c>
    </row>
    <row r="37">
      <c r="A37" s="5" t="inlineStr">
        <is>
          <t>Equipment / initial production</t>
        </is>
      </c>
      <c r="B37" s="9">
        <f>B13</f>
        <v/>
      </c>
      <c r="C37" s="9">
        <f>C13</f>
        <v/>
      </c>
      <c r="D37" s="9">
        <f>D13</f>
        <v/>
      </c>
      <c r="E37" s="9">
        <f>E13</f>
        <v/>
      </c>
      <c r="F37" s="9">
        <f>F13</f>
        <v/>
      </c>
      <c r="G37" s="9">
        <f>G13</f>
        <v/>
      </c>
      <c r="H37" s="9">
        <f>H13</f>
        <v/>
      </c>
      <c r="I37" s="9">
        <f>I13</f>
        <v/>
      </c>
      <c r="J37" s="9">
        <f>J13</f>
        <v/>
      </c>
      <c r="K37" s="9">
        <f>K13</f>
        <v/>
      </c>
      <c r="L37" s="9">
        <f>L13</f>
        <v/>
      </c>
      <c r="M37" s="9">
        <f>M13</f>
        <v/>
      </c>
    </row>
    <row r="38">
      <c r="A38" s="5" t="inlineStr">
        <is>
          <t>Vendor / local campaign delivery cost</t>
        </is>
      </c>
      <c r="B38" s="9">
        <f>B11*Assumptions!$B$34</f>
        <v/>
      </c>
      <c r="C38" s="9">
        <f>C11*Assumptions!$B$34</f>
        <v/>
      </c>
      <c r="D38" s="9">
        <f>D11*Assumptions!$B$34</f>
        <v/>
      </c>
      <c r="E38" s="9">
        <f>E11*Assumptions!$B$34</f>
        <v/>
      </c>
      <c r="F38" s="9">
        <f>F11*Assumptions!$B$34</f>
        <v/>
      </c>
      <c r="G38" s="9">
        <f>G11*Assumptions!$B$34</f>
        <v/>
      </c>
      <c r="H38" s="9">
        <f>H11*Assumptions!$B$34</f>
        <v/>
      </c>
      <c r="I38" s="9">
        <f>I11*Assumptions!$B$34</f>
        <v/>
      </c>
      <c r="J38" s="9">
        <f>J11*Assumptions!$B$34</f>
        <v/>
      </c>
      <c r="K38" s="9">
        <f>K11*Assumptions!$B$34</f>
        <v/>
      </c>
      <c r="L38" s="9">
        <f>L11*Assumptions!$B$34</f>
        <v/>
      </c>
      <c r="M38" s="9">
        <f>M11*Assumptions!$B$34</f>
        <v/>
      </c>
    </row>
    <row r="39">
      <c r="A39" s="2" t="inlineStr">
        <is>
          <t>Total operating expenses</t>
        </is>
      </c>
      <c r="B39" s="9">
        <f>SUM(B29:B38)</f>
        <v/>
      </c>
      <c r="C39" s="9">
        <f>SUM(C29:C38)</f>
        <v/>
      </c>
      <c r="D39" s="9">
        <f>SUM(D29:D38)</f>
        <v/>
      </c>
      <c r="E39" s="9">
        <f>SUM(E29:E38)</f>
        <v/>
      </c>
      <c r="F39" s="9">
        <f>SUM(F29:F38)</f>
        <v/>
      </c>
      <c r="G39" s="9">
        <f>SUM(G29:G38)</f>
        <v/>
      </c>
      <c r="H39" s="9">
        <f>SUM(H29:H38)</f>
        <v/>
      </c>
      <c r="I39" s="9">
        <f>SUM(I29:I38)</f>
        <v/>
      </c>
      <c r="J39" s="9">
        <f>SUM(J29:J38)</f>
        <v/>
      </c>
      <c r="K39" s="9">
        <f>SUM(K29:K38)</f>
        <v/>
      </c>
      <c r="L39" s="9">
        <f>SUM(L29:L38)</f>
        <v/>
      </c>
      <c r="M39" s="9">
        <f>SUM(M29:M38)</f>
        <v/>
      </c>
    </row>
    <row r="40"/>
    <row r="41">
      <c r="A41" s="2" t="inlineStr">
        <is>
          <t>Cash position</t>
        </is>
      </c>
    </row>
    <row r="42">
      <c r="A42" s="2" t="inlineStr">
        <is>
          <t>Net operating cash flow</t>
        </is>
      </c>
      <c r="B42" s="9">
        <f>B26-B39</f>
        <v/>
      </c>
      <c r="C42" s="9">
        <f>C26-C39</f>
        <v/>
      </c>
      <c r="D42" s="9">
        <f>D26-D39</f>
        <v/>
      </c>
      <c r="E42" s="9">
        <f>E26-E39</f>
        <v/>
      </c>
      <c r="F42" s="9">
        <f>F26-F39</f>
        <v/>
      </c>
      <c r="G42" s="9">
        <f>G26-G39</f>
        <v/>
      </c>
      <c r="H42" s="9">
        <f>H26-H39</f>
        <v/>
      </c>
      <c r="I42" s="9">
        <f>I26-I39</f>
        <v/>
      </c>
      <c r="J42" s="9">
        <f>J26-J39</f>
        <v/>
      </c>
      <c r="K42" s="9">
        <f>K26-K39</f>
        <v/>
      </c>
      <c r="L42" s="9">
        <f>L26-L39</f>
        <v/>
      </c>
      <c r="M42" s="9">
        <f>M26-M39</f>
        <v/>
      </c>
    </row>
    <row r="43">
      <c r="A43" s="2" t="inlineStr">
        <is>
          <t>Cumulative cash before funding</t>
        </is>
      </c>
      <c r="B43" s="9">
        <f>B42</f>
        <v/>
      </c>
      <c r="C43" s="9">
        <f>B43+C42</f>
        <v/>
      </c>
      <c r="D43" s="9">
        <f>C43+D42</f>
        <v/>
      </c>
      <c r="E43" s="9">
        <f>D43+E42</f>
        <v/>
      </c>
      <c r="F43" s="9">
        <f>E43+F42</f>
        <v/>
      </c>
      <c r="G43" s="9">
        <f>F43+G42</f>
        <v/>
      </c>
      <c r="H43" s="9">
        <f>G43+H42</f>
        <v/>
      </c>
      <c r="I43" s="9">
        <f>H43+I42</f>
        <v/>
      </c>
      <c r="J43" s="9">
        <f>I43+J42</f>
        <v/>
      </c>
      <c r="K43" s="9">
        <f>J43+K42</f>
        <v/>
      </c>
      <c r="L43" s="9">
        <f>K43+L42</f>
        <v/>
      </c>
      <c r="M43" s="9">
        <f>L43+M42</f>
        <v/>
      </c>
    </row>
    <row r="44">
      <c r="A44" s="2" t="inlineStr">
        <is>
          <t>Opening cash</t>
        </is>
      </c>
      <c r="B44" s="9">
        <f>Assumptions!$B$27</f>
        <v/>
      </c>
      <c r="C44" s="9">
        <f>B46</f>
        <v/>
      </c>
      <c r="D44" s="9">
        <f>C46</f>
        <v/>
      </c>
      <c r="E44" s="9">
        <f>D46</f>
        <v/>
      </c>
      <c r="F44" s="9">
        <f>E46</f>
        <v/>
      </c>
      <c r="G44" s="9">
        <f>F46</f>
        <v/>
      </c>
      <c r="H44" s="9">
        <f>G46</f>
        <v/>
      </c>
      <c r="I44" s="9">
        <f>H46</f>
        <v/>
      </c>
      <c r="J44" s="9">
        <f>I46</f>
        <v/>
      </c>
      <c r="K44" s="9">
        <f>J46</f>
        <v/>
      </c>
      <c r="L44" s="9">
        <f>K46</f>
        <v/>
      </c>
      <c r="M44" s="9">
        <f>L46</f>
        <v/>
      </c>
    </row>
    <row r="45">
      <c r="A45" s="2" t="inlineStr">
        <is>
          <t>External funding draw</t>
        </is>
      </c>
      <c r="B45" s="9">
        <f>B14</f>
        <v/>
      </c>
      <c r="C45" s="9">
        <f>C14</f>
        <v/>
      </c>
      <c r="D45" s="9">
        <f>D14</f>
        <v/>
      </c>
      <c r="E45" s="9">
        <f>E14</f>
        <v/>
      </c>
      <c r="F45" s="9">
        <f>F14</f>
        <v/>
      </c>
      <c r="G45" s="9">
        <f>G14</f>
        <v/>
      </c>
      <c r="H45" s="9">
        <f>H14</f>
        <v/>
      </c>
      <c r="I45" s="9">
        <f>I14</f>
        <v/>
      </c>
      <c r="J45" s="9">
        <f>J14</f>
        <v/>
      </c>
      <c r="K45" s="9">
        <f>K14</f>
        <v/>
      </c>
      <c r="L45" s="9">
        <f>L14</f>
        <v/>
      </c>
      <c r="M45" s="9">
        <f>M14</f>
        <v/>
      </c>
    </row>
    <row r="46">
      <c r="A46" s="2" t="inlineStr">
        <is>
          <t>Closing cash</t>
        </is>
      </c>
      <c r="B46" s="9">
        <f>B44+B42+B45</f>
        <v/>
      </c>
      <c r="C46" s="9">
        <f>C44+C42+C45</f>
        <v/>
      </c>
      <c r="D46" s="9">
        <f>D44+D42+D45</f>
        <v/>
      </c>
      <c r="E46" s="9">
        <f>E44+E42+E45</f>
        <v/>
      </c>
      <c r="F46" s="9">
        <f>F44+F42+F45</f>
        <v/>
      </c>
      <c r="G46" s="9">
        <f>G44+G42+G45</f>
        <v/>
      </c>
      <c r="H46" s="9">
        <f>H44+H42+H45</f>
        <v/>
      </c>
      <c r="I46" s="9">
        <f>I44+I42+I45</f>
        <v/>
      </c>
      <c r="J46" s="9">
        <f>J44+J42+J45</f>
        <v/>
      </c>
      <c r="K46" s="9">
        <f>K44+K42+K45</f>
        <v/>
      </c>
      <c r="L46" s="9">
        <f>L44+L42+L45</f>
        <v/>
      </c>
      <c r="M46" s="9">
        <f>M44+M42+M45</f>
        <v/>
      </c>
    </row>
    <row r="47">
      <c r="A47" s="2" t="inlineStr">
        <is>
          <t>Cash above / (below) reserve</t>
        </is>
      </c>
      <c r="B47" s="9">
        <f>B46-Assumptions!$B$18</f>
        <v/>
      </c>
      <c r="C47" s="9">
        <f>C46-Assumptions!$B$18</f>
        <v/>
      </c>
      <c r="D47" s="9">
        <f>D46-Assumptions!$B$18</f>
        <v/>
      </c>
      <c r="E47" s="9">
        <f>E46-Assumptions!$B$18</f>
        <v/>
      </c>
      <c r="F47" s="9">
        <f>F46-Assumptions!$B$18</f>
        <v/>
      </c>
      <c r="G47" s="9">
        <f>G46-Assumptions!$B$18</f>
        <v/>
      </c>
      <c r="H47" s="9">
        <f>H46-Assumptions!$B$18</f>
        <v/>
      </c>
      <c r="I47" s="9">
        <f>I46-Assumptions!$B$18</f>
        <v/>
      </c>
      <c r="J47" s="9">
        <f>J46-Assumptions!$B$18</f>
        <v/>
      </c>
      <c r="K47" s="9">
        <f>K46-Assumptions!$B$18</f>
        <v/>
      </c>
      <c r="L47" s="9">
        <f>L46-Assumptions!$B$18</f>
        <v/>
      </c>
      <c r="M47" s="9">
        <f>M46-Assumptions!$B$18</f>
        <v/>
      </c>
    </row>
  </sheetData>
  <mergeCells count="1">
    <mergeCell ref="A1:M1"/>
  </mergeCells>
  <pageMargins left="0.7" right="0.7" top="0.75" bottom="0.75" header="0.3" footer="0.3"/>
</worksheet>
</file>

<file path=xl/worksheets/sheet4.xml><?xml version="1.0" encoding="utf-8"?>
<worksheet xmlns="http://schemas.openxmlformats.org/spreadsheetml/2006/main">
  <sheetPr>
    <tabColor rgb="FFA65E2E"/>
    <outlinePr summaryBelow="1" summaryRight="1"/>
    <pageSetUpPr/>
  </sheetPr>
  <dimension ref="A1:C21"/>
  <sheetViews>
    <sheetView showGridLines="0" workbookViewId="0">
      <selection activeCell="A1" sqref="A1"/>
    </sheetView>
  </sheetViews>
  <sheetFormatPr baseColWidth="8" defaultRowHeight="15"/>
  <cols>
    <col width="50.7109375" customWidth="1" min="1" max="1"/>
    <col width="20.7109375" customWidth="1" min="2" max="2"/>
    <col width="72.7109375" customWidth="1" min="3" max="3"/>
  </cols>
  <sheetData>
    <row r="1">
      <c r="A1" s="1" t="inlineStr">
        <is>
          <t>Funding Waterfall and Capital Timing</t>
        </is>
      </c>
    </row>
    <row r="3">
      <c r="A3" s="4" t="inlineStr">
        <is>
          <t>Measure</t>
        </is>
      </c>
      <c r="B3" s="4" t="inlineStr">
        <is>
          <t>Formula / Value</t>
        </is>
      </c>
      <c r="C3" s="4" t="inlineStr">
        <is>
          <t>Interpretation</t>
        </is>
      </c>
    </row>
    <row r="4">
      <c r="A4" s="5" t="inlineStr">
        <is>
          <t>Launch-year revenue receipts</t>
        </is>
      </c>
      <c r="B4" s="9">
        <f>SUM('12 Month Cash Flow'!B26:M26)</f>
        <v/>
      </c>
      <c r="C4" s="3" t="inlineStr">
        <is>
          <t>Cash receipts from the launch schedule, recurring memberships, annual dues, booking fees, and campaign contributions.</t>
        </is>
      </c>
    </row>
    <row r="5">
      <c r="A5" s="5" t="inlineStr">
        <is>
          <t>Launch-year operating expenses</t>
        </is>
      </c>
      <c r="B5" s="9">
        <f>SUM('12 Month Cash Flow'!B39:M39)</f>
        <v/>
      </c>
      <c r="C5" s="3" t="inlineStr">
        <is>
          <t>Cash operating costs, including the editable legal and equipment schedules.</t>
        </is>
      </c>
    </row>
    <row r="6">
      <c r="A6" s="5" t="inlineStr">
        <is>
          <t>Launch-year net operating cash flow</t>
        </is>
      </c>
      <c r="B6" s="9">
        <f>B4-B5</f>
        <v/>
      </c>
      <c r="C6" s="3" t="inlineStr">
        <is>
          <t>Negative means the ramp consumes cash before founder or external funding.</t>
        </is>
      </c>
    </row>
    <row r="7">
      <c r="A7" s="5" t="inlineStr">
        <is>
          <t>Lowest cumulative cash before funding</t>
        </is>
      </c>
      <c r="B7" s="9">
        <f>MIN('12 Month Cash Flow'!B43:M43)</f>
        <v/>
      </c>
      <c r="C7" s="3" t="inlineStr">
        <is>
          <t>Worst point if no starting capital or external funding is drawn.</t>
        </is>
      </c>
    </row>
    <row r="8">
      <c r="A8" s="5" t="inlineStr">
        <is>
          <t>Required reserve</t>
        </is>
      </c>
      <c r="B8" s="9">
        <f>Assumptions!$B$18</f>
        <v/>
      </c>
      <c r="C8" s="3" t="inlineStr">
        <is>
          <t>Minimum desired balance.</t>
        </is>
      </c>
    </row>
    <row r="9">
      <c r="A9" s="5" t="inlineStr">
        <is>
          <t>Minimum funding to preserve reserve</t>
        </is>
      </c>
      <c r="B9" s="9">
        <f>MAX(0,-B7+B8)</f>
        <v/>
      </c>
      <c r="C9" s="3" t="inlineStr">
        <is>
          <t>Capital required in total, regardless of whether it is founder capital, debt, or investment.</t>
        </is>
      </c>
    </row>
    <row r="10">
      <c r="A10" s="5" t="inlineStr">
        <is>
          <t>Recommended 10% contingency</t>
        </is>
      </c>
      <c r="B10" s="9">
        <f>B9*10%</f>
        <v/>
      </c>
      <c r="C10" s="3" t="inlineStr">
        <is>
          <t>Delay/refund/collection-risk buffer.</t>
        </is>
      </c>
    </row>
    <row r="11">
      <c r="A11" s="5" t="inlineStr">
        <is>
          <t>Recommended total committed capital</t>
        </is>
      </c>
      <c r="B11" s="9">
        <f>B9+B10</f>
        <v/>
      </c>
      <c r="C11" s="3" t="inlineStr">
        <is>
          <t>Capital that should be committed or contractually available before launch.</t>
        </is>
      </c>
    </row>
    <row r="12">
      <c r="A12" s="5" t="inlineStr">
        <is>
          <t>Scheduled starting capital and external draws</t>
        </is>
      </c>
      <c r="B12" s="9">
        <f>Assumptions!$B$27+SUM('12 Month Cash Flow'!B45:M45)</f>
        <v/>
      </c>
      <c r="C12" s="3" t="inlineStr">
        <is>
          <t>Only enter funded or formally committed sources.</t>
        </is>
      </c>
    </row>
    <row r="13">
      <c r="A13" s="5" t="inlineStr">
        <is>
          <t>Committed capital surplus / (shortfall)</t>
        </is>
      </c>
      <c r="B13" s="9">
        <f>B12-B11</f>
        <v/>
      </c>
      <c r="C13" s="3" t="inlineStr">
        <is>
          <t>Positive means the plan meets the target; negative means reduce burn, accelerate receipts, or close funding.</t>
        </is>
      </c>
    </row>
    <row r="16">
      <c r="A16" s="2" t="inlineStr">
        <is>
          <t>Funding order</t>
        </is>
      </c>
    </row>
    <row r="17">
      <c r="A17" s="5" t="inlineStr">
        <is>
          <t>1. Partner launch fees and annual member dues</t>
        </is>
      </c>
      <c r="B17" s="5" t="inlineStr">
        <is>
          <t>First</t>
        </is>
      </c>
      <c r="C17" s="3" t="inlineStr">
        <is>
          <t>Collect launch fees in milestone-based installments and annual membership revenue upfront where possible.</t>
        </is>
      </c>
    </row>
    <row r="18">
      <c r="A18" s="5" t="inlineStr">
        <is>
          <t>2. Delayable founder draw and staged initial payments</t>
        </is>
      </c>
      <c r="B18" s="5" t="inlineStr">
        <is>
          <t>Cash preservation</t>
        </is>
      </c>
      <c r="C18" s="3" t="inlineStr">
        <is>
          <t>Use start-month controls and payment schedules to align cash cost with actual partner/member activation, not with a calendar date.</t>
        </is>
      </c>
    </row>
    <row r="19">
      <c r="A19" s="5" t="inlineStr">
        <is>
          <t>3. Founder capital or committed outside investment</t>
        </is>
      </c>
      <c r="B19" s="5" t="inlineStr">
        <is>
          <t>Base-case gap</t>
        </is>
      </c>
      <c r="C19" s="3" t="inlineStr">
        <is>
          <t>Fund the calculated reserve requirement and legal/product milestones. Draw later only if the source is committed before the cash trough.</t>
        </is>
      </c>
    </row>
    <row r="20">
      <c r="A20" s="5" t="inlineStr">
        <is>
          <t>4. Small working-capital line</t>
        </is>
      </c>
      <c r="B20" s="5" t="inlineStr">
        <is>
          <t>Contingency</t>
        </is>
      </c>
      <c r="C20" s="3" t="inlineStr">
        <is>
          <t>Use only for contracted timing gaps after recurring collections exist; do not rely on debt for speculative events or open-ended payroll.</t>
        </is>
      </c>
    </row>
    <row r="21">
      <c r="A21" s="5" t="inlineStr">
        <is>
          <t>5. Strategic/equity investment</t>
        </is>
      </c>
      <c r="B21" s="5" t="inlineStr">
        <is>
          <t>Expansion</t>
        </is>
      </c>
      <c r="C21" s="3" t="inlineStr">
        <is>
          <t>Use for multi-market expansion, a facility, accelerated Connected Garage development, or a staffed team.</t>
        </is>
      </c>
    </row>
  </sheetData>
  <mergeCells count="1">
    <mergeCell ref="A1:C1"/>
  </mergeCells>
  <pageMargins left="0.7" right="0.7" top="0.75" bottom="0.75" header="0.3" footer="0.3"/>
</worksheet>
</file>

<file path=xl/worksheets/sheet5.xml><?xml version="1.0" encoding="utf-8"?>
<worksheet xmlns="http://schemas.openxmlformats.org/spreadsheetml/2006/main">
  <sheetPr>
    <tabColor rgb="FF6B5B95"/>
    <outlinePr summaryBelow="1" summaryRight="1"/>
    <pageSetUpPr/>
  </sheetPr>
  <dimension ref="A1:C22"/>
  <sheetViews>
    <sheetView showGridLines="0" workbookViewId="0">
      <selection activeCell="A1" sqref="A1"/>
    </sheetView>
  </sheetViews>
  <sheetFormatPr baseColWidth="8" defaultRowHeight="15"/>
  <cols>
    <col width="46.7109375" customWidth="1" min="1" max="1"/>
    <col width="20.7109375" customWidth="1" min="2" max="2"/>
    <col width="66.7109375" customWidth="1" min="3" max="3"/>
  </cols>
  <sheetData>
    <row r="1">
      <c r="A1" s="1" t="inlineStr">
        <is>
          <t>Mature First-Market Annual Run Rate</t>
        </is>
      </c>
    </row>
    <row r="3">
      <c r="A3" s="4" t="inlineStr">
        <is>
          <t>Driver / Revenue line</t>
        </is>
      </c>
      <c r="B3" s="4" t="inlineStr">
        <is>
          <t>Formula / Value</t>
        </is>
      </c>
      <c r="C3" s="4" t="inlineStr">
        <is>
          <t>Notes</t>
        </is>
      </c>
    </row>
    <row r="4">
      <c r="A4" s="5" t="inlineStr">
        <is>
          <t>Certified Partners</t>
        </is>
      </c>
      <c r="B4" s="7" t="n">
        <v>10</v>
      </c>
      <c r="C4" s="3" t="inlineStr">
        <is>
          <t>Editable operating target.</t>
        </is>
      </c>
    </row>
    <row r="5">
      <c r="A5" s="5" t="inlineStr">
        <is>
          <t>Specialty / Infrastructure Partners</t>
        </is>
      </c>
      <c r="B5" s="7" t="n">
        <v>5</v>
      </c>
      <c r="C5" s="3" t="inlineStr">
        <is>
          <t>Editable operating target.</t>
        </is>
      </c>
    </row>
    <row r="6">
      <c r="A6" s="5" t="inlineStr">
        <is>
          <t>Full repair launches per year</t>
        </is>
      </c>
      <c r="B6" s="7" t="n">
        <v>10</v>
      </c>
      <c r="C6" s="3" t="inlineStr">
        <is>
          <t>New full launches after initial market activation.</t>
        </is>
      </c>
    </row>
    <row r="7">
      <c r="A7" s="5" t="inlineStr">
        <is>
          <t>Specialty / infrastructure launches per year</t>
        </is>
      </c>
      <c r="B7" s="7" t="n">
        <v>5</v>
      </c>
      <c r="C7" s="3" t="inlineStr">
        <is>
          <t>New lighter launches after initial market activation.</t>
        </is>
      </c>
    </row>
    <row r="8">
      <c r="A8" s="5" t="inlineStr">
        <is>
          <t>Annual consumer members</t>
        </is>
      </c>
      <c r="B8" s="7" t="n">
        <v>400</v>
      </c>
      <c r="C8" s="3" t="inlineStr">
        <is>
          <t>At annual member dues in the base case.</t>
        </is>
      </c>
    </row>
    <row r="9">
      <c r="A9" s="5" t="inlineStr">
        <is>
          <t>Completed bookings / qualified Certified Partner / window</t>
        </is>
      </c>
      <c r="B9" s="9">
        <f>Assumptions!$B$32</f>
        <v/>
      </c>
      <c r="C9" s="3" t="inlineStr">
        <is>
          <t>Formula uses the booking-window and qualification-delay assumptions on Assumptions.</t>
        </is>
      </c>
    </row>
    <row r="10">
      <c r="A10" s="5" t="inlineStr">
        <is>
          <t>Vendor / local campaigns per year</t>
        </is>
      </c>
      <c r="B10" s="7" t="n">
        <v>4</v>
      </c>
      <c r="C10" s="3" t="inlineStr">
        <is>
          <t>At the Assumptions campaign contribution.</t>
        </is>
      </c>
    </row>
    <row r="12">
      <c r="A12" s="2" t="inlineStr">
        <is>
          <t>Revenue</t>
        </is>
      </c>
    </row>
    <row r="13">
      <c r="A13" s="5" t="inlineStr">
        <is>
          <t>Full partner launches</t>
        </is>
      </c>
      <c r="B13" s="9">
        <f>B6*Assumptions!$B$19</f>
        <v/>
      </c>
      <c r="C13" s="3" t="inlineStr">
        <is>
          <t>Formula driven by the editable target above and Assumptions.</t>
        </is>
      </c>
    </row>
    <row r="14">
      <c r="A14" s="5" t="inlineStr">
        <is>
          <t>Specialty/infrastructure launches</t>
        </is>
      </c>
      <c r="B14" s="9">
        <f>B7*Assumptions!$B$20</f>
        <v/>
      </c>
      <c r="C14" s="3" t="inlineStr">
        <is>
          <t>Formula driven by the editable target above and Assumptions.</t>
        </is>
      </c>
    </row>
    <row r="15">
      <c r="A15" s="5" t="inlineStr">
        <is>
          <t>Certified Partner memberships</t>
        </is>
      </c>
      <c r="B15" s="9">
        <f>B4*Assumptions!$B$21*12</f>
        <v/>
      </c>
      <c r="C15" s="3" t="inlineStr">
        <is>
          <t>Formula driven by the editable target above and Assumptions.</t>
        </is>
      </c>
    </row>
    <row r="16">
      <c r="A16" s="5" t="inlineStr">
        <is>
          <t>Specialty/infrastructure memberships</t>
        </is>
      </c>
      <c r="B16" s="9">
        <f>B5*Assumptions!$B$22*12</f>
        <v/>
      </c>
      <c r="C16" s="3" t="inlineStr">
        <is>
          <t>Formula driven by the editable target above and Assumptions.</t>
        </is>
      </c>
    </row>
    <row r="17">
      <c r="A17" s="5" t="inlineStr">
        <is>
          <t>Annual consumer memberships</t>
        </is>
      </c>
      <c r="B17" s="9">
        <f>B8*Assumptions!$B$23</f>
        <v/>
      </c>
      <c r="C17" s="3" t="inlineStr">
        <is>
          <t>Formula driven by the editable target above and Assumptions.</t>
        </is>
      </c>
    </row>
    <row r="18">
      <c r="A18" s="5" t="inlineStr">
        <is>
          <t>Completed-booking fees</t>
        </is>
      </c>
      <c r="B18" s="9">
        <f>B4*B9/Assumptions!$B$31*12*Assumptions!$B$24</f>
        <v/>
      </c>
      <c r="C18" s="3" t="inlineStr">
        <is>
          <t>Certified Partners x bookings per trailing window / window months x 12 x completed-booking fee.</t>
        </is>
      </c>
    </row>
    <row r="19">
      <c r="A19" s="5" t="inlineStr">
        <is>
          <t>Vendor/local campaigns</t>
        </is>
      </c>
      <c r="B19" s="9">
        <f>B10*Assumptions!$B$25</f>
        <v/>
      </c>
      <c r="C19" s="3" t="inlineStr">
        <is>
          <t>Formula driven by the editable target above and Assumptions.</t>
        </is>
      </c>
    </row>
    <row r="20">
      <c r="A20" s="5" t="inlineStr">
        <is>
          <t>Managed-service contribution</t>
        </is>
      </c>
      <c r="B20" s="9">
        <f>Assumptions!$B$28*12</f>
        <v/>
      </c>
      <c r="C20" s="3" t="inlineStr">
        <is>
          <t>Formula driven by the editable target above and Assumptions.</t>
        </is>
      </c>
    </row>
    <row r="21">
      <c r="A21" s="5" t="inlineStr">
        <is>
          <t>Expert-work contribution</t>
        </is>
      </c>
      <c r="B21" s="9">
        <f>Assumptions!$B$29*12</f>
        <v/>
      </c>
      <c r="C21" s="3" t="inlineStr">
        <is>
          <t>Formula driven by the editable target above and Assumptions.</t>
        </is>
      </c>
    </row>
    <row r="22">
      <c r="A22" s="2" t="inlineStr">
        <is>
          <t>Total annual gross revenue</t>
        </is>
      </c>
      <c r="B22" s="9">
        <f>SUM(B13:B21)</f>
        <v/>
      </c>
      <c r="C22" s="3" t="inlineStr">
        <is>
          <t>Gross revenue only. Add direct costs, staffing, taxes, payment fees, refunds, and market-specific overhead before using this as a profitability estimate.</t>
        </is>
      </c>
    </row>
  </sheetData>
  <mergeCells count="1">
    <mergeCell ref="A1:C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2026-10-07T19:38:22Z</dcterms:created>
  <dcterms:modified xsi:type="dcterms:W3CDTF">2026-10-07T21:28:18Z</dcterms:modified>
</cp:coreProperties>
</file>